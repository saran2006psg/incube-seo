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00_START" sheetId="1" state="visible" r:id="rId1"/>
    <sheet xmlns:r="http://schemas.openxmlformats.org/officeDocument/2006/relationships" name="01_INSIGHT" sheetId="2" state="visible" r:id="rId2"/>
    <sheet xmlns:r="http://schemas.openxmlformats.org/officeDocument/2006/relationships" name="02_QUESTIONS" sheetId="3" state="visible" r:id="rId3"/>
    <sheet xmlns:r="http://schemas.openxmlformats.org/officeDocument/2006/relationships" name="02b_FIXES" sheetId="4" state="visible" r:id="rId4"/>
    <sheet xmlns:r="http://schemas.openxmlformats.org/officeDocument/2006/relationships" name="02c_PAGES_CITATIONS" sheetId="5" state="visible" r:id="rId5"/>
    <sheet xmlns:r="http://schemas.openxmlformats.org/officeDocument/2006/relationships" name="03_ENGINE_LAUNCH" sheetId="6" state="visible" r:id="rId6"/>
    <sheet xmlns:r="http://schemas.openxmlformats.org/officeDocument/2006/relationships" name="04_SELF_CHECK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i val="1"/>
      <color rgb="FF1F2933"/>
      <sz val="10"/>
    </font>
    <font>
      <name val="Arial"/>
      <charset val="1"/>
      <family val="0"/>
      <b val="1"/>
      <color rgb="FF1F2933"/>
      <sz val="11"/>
    </font>
    <font>
      <name val="Arial"/>
      <charset val="1"/>
      <family val="0"/>
      <b val="1"/>
      <color rgb="FF1F2933"/>
      <sz val="10"/>
    </font>
    <font>
      <name val="Arial"/>
      <charset val="1"/>
      <family val="0"/>
      <color rgb="FF1F2933"/>
      <sz val="10"/>
    </font>
  </fonts>
  <fills count="7">
    <fill>
      <patternFill/>
    </fill>
    <fill>
      <patternFill patternType="gray125"/>
    </fill>
    <fill>
      <patternFill patternType="solid">
        <fgColor rgb="FF0B1B2B"/>
        <bgColor rgb="FF1F2933"/>
      </patternFill>
    </fill>
    <fill>
      <patternFill patternType="solid">
        <fgColor rgb="FFF2F2F2"/>
        <bgColor rgb="FFE2EFDA"/>
      </patternFill>
    </fill>
    <fill>
      <patternFill patternType="solid">
        <fgColor rgb="FFD9EAF7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D9EAF7"/>
      </patternFill>
    </fill>
  </fills>
  <borders count="6">
    <border>
      <left/>
      <right/>
      <top/>
      <bottom/>
      <diagonal/>
    </border>
    <border>
      <left style="thin">
        <color rgb="FFBFC9D1"/>
      </left>
      <right style="thin">
        <color rgb="FFBFC9D1"/>
      </right>
      <top style="thin">
        <color rgb="FFBFC9D1"/>
      </top>
      <bottom style="thin">
        <color rgb="FFBFC9D1"/>
      </bottom>
      <diagonal/>
    </border>
    <border>
      <left/>
      <right/>
      <top style="thin">
        <color rgb="FFBFC9D1"/>
      </top>
      <bottom/>
      <diagonal/>
    </border>
    <border>
      <left/>
      <right style="thin">
        <color rgb="FFBFC9D1"/>
      </right>
      <top style="thin">
        <color rgb="FFBFC9D1"/>
      </top>
      <bottom/>
      <diagonal/>
    </border>
    <border>
      <left/>
      <right/>
      <top style="thin">
        <color rgb="FFBFC9D1"/>
      </top>
      <bottom style="thin">
        <color rgb="FFBFC9D1"/>
      </bottom>
      <diagonal/>
    </border>
    <border>
      <left/>
      <right style="thin">
        <color rgb="FFBFC9D1"/>
      </right>
      <top style="thin">
        <color rgb="FFBFC9D1"/>
      </top>
      <bottom style="thin">
        <color rgb="FFBFC9D1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/>
    </xf>
    <xf numFmtId="0" fontId="8" fillId="6" borderId="1" applyAlignment="1" pivotButton="0" quotePrefix="0" xfId="0">
      <alignment horizontal="general" vertical="top"/>
    </xf>
    <xf numFmtId="0" fontId="8" fillId="6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top" wrapText="1"/>
    </xf>
    <xf numFmtId="0" fontId="0" fillId="0" borderId="4" pivotButton="0" quotePrefix="0" xfId="0"/>
    <xf numFmtId="0" fontId="0" fillId="0" borderId="5" pivotButton="0" quotePrefix="0" xfId="0"/>
    <xf numFmtId="0" fontId="5" fillId="3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/>
    </xf>
    <xf numFmtId="0" fontId="8" fillId="6" borderId="1" applyAlignment="1" pivotButton="0" quotePrefix="0" xfId="0">
      <alignment horizontal="general" vertical="top"/>
    </xf>
    <xf numFmtId="0" fontId="8" fillId="6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>
          <bgColor rgb="FFF8D7DA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9D1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2F2F2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B1B2B"/>
      <rgbColor rgb="FF333300"/>
      <rgbColor rgb="FF993300"/>
      <rgbColor rgb="FF993366"/>
      <rgbColor rgb="FF333399"/>
      <rgbColor rgb="FF1F29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2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4" min="1" max="1"/>
    <col width="70" customWidth="1" style="14" min="2" max="2"/>
    <col width="4" customWidth="1" style="14" min="3" max="3"/>
    <col width="6" customWidth="1" style="14" min="4" max="4"/>
    <col width="44" customWidth="1" style="14" min="5" max="5"/>
    <col width="10" customWidth="1" style="14" min="6" max="6"/>
  </cols>
  <sheetData>
    <row r="1" ht="24" customHeight="1" s="15">
      <c r="A1" s="16" t="inlineStr">
        <is>
          <t>IncuBrix Growth Engineer | Option 3: AEO, SEO and GEO Visibility Engine | Submission Workbook</t>
        </is>
      </c>
      <c r="B1" s="17" t="n"/>
      <c r="C1" s="17" t="n"/>
      <c r="D1" s="17" t="n"/>
      <c r="E1" s="17" t="n"/>
      <c r="F1" s="18" t="n"/>
    </row>
    <row r="2" ht="31.5" customHeight="1" s="15">
      <c r="A2" s="19" t="inlineStr">
        <is>
          <t>Complete tabs 00-04. YELLOW = your input. GREEN = calculated. GREY = guidance. Every claim needs a link to evidence.</t>
        </is>
      </c>
      <c r="B2" s="17" t="n"/>
      <c r="C2" s="17" t="n"/>
      <c r="D2" s="17" t="n"/>
      <c r="E2" s="17" t="n"/>
      <c r="F2" s="18" t="n"/>
    </row>
    <row r="4" ht="15" customHeight="1" s="15">
      <c r="A4" s="20" t="inlineStr">
        <is>
          <t>Candidate details and links</t>
        </is>
      </c>
      <c r="B4" s="18" t="n"/>
      <c r="D4" s="21" t="inlineStr">
        <is>
          <t>Submission checklist</t>
        </is>
      </c>
      <c r="E4" s="17" t="n"/>
      <c r="F4" s="18" t="n"/>
    </row>
    <row r="5" ht="15" customHeight="1" s="15">
      <c r="A5" s="22" t="inlineStr">
        <is>
          <t>Candidate ID (from email)</t>
        </is>
      </c>
      <c r="B5" s="23" t="inlineStr">
        <is>
          <t>GE-2027-OPT3-0492</t>
        </is>
      </c>
      <c r="D5" s="24" t="n">
        <v>1</v>
      </c>
      <c r="E5" s="24" t="inlineStr">
        <is>
          <t>Completed workbook</t>
        </is>
      </c>
      <c r="F5" s="23" t="inlineStr">
        <is>
          <t>Yes</t>
        </is>
      </c>
    </row>
    <row r="6" ht="15" customHeight="1" s="15">
      <c r="A6" s="22" t="inlineStr">
        <is>
          <t>Full name</t>
        </is>
      </c>
      <c r="B6" s="23" t="inlineStr">
        <is>
          <t>Saran M</t>
        </is>
      </c>
      <c r="D6" s="24" t="n">
        <v>2</v>
      </c>
      <c r="E6" s="24" t="inlineStr">
        <is>
          <t>Main output files</t>
        </is>
      </c>
      <c r="F6" s="23" t="inlineStr">
        <is>
          <t>Yes</t>
        </is>
      </c>
    </row>
    <row r="7" ht="15" customHeight="1" s="15">
      <c r="A7" s="22" t="inlineStr">
        <is>
          <t>Registered email</t>
        </is>
      </c>
      <c r="B7" s="23" t="inlineStr">
        <is>
          <t>saran@example.com</t>
        </is>
      </c>
      <c r="D7" s="24" t="n">
        <v>3</v>
      </c>
      <c r="E7" s="24" t="inlineStr">
        <is>
          <t>Engine repository + README</t>
        </is>
      </c>
      <c r="F7" s="23" t="inlineStr">
        <is>
          <t>Yes</t>
        </is>
      </c>
    </row>
    <row r="8" ht="15" customHeight="1" s="15">
      <c r="A8" s="22" t="inlineStr">
        <is>
          <t>College and degree</t>
        </is>
      </c>
      <c r="B8" s="23" t="inlineStr">
        <is>
          <t>PSG College of Technology, B.E.</t>
        </is>
      </c>
      <c r="D8" s="24" t="n">
        <v>4</v>
      </c>
      <c r="E8" s="24" t="inlineStr">
        <is>
          <t>Launch kit</t>
        </is>
      </c>
      <c r="F8" s="23" t="inlineStr">
        <is>
          <t>Yes</t>
        </is>
      </c>
    </row>
    <row r="9" ht="15" customHeight="1" s="15">
      <c r="A9" s="22" t="inlineStr">
        <is>
          <t>Assessment start (date/time)</t>
        </is>
      </c>
      <c r="B9" s="23" t="inlineStr">
        <is>
          <t>2026-10-22 10:00</t>
        </is>
      </c>
      <c r="D9" s="24" t="n">
        <v>5</v>
      </c>
      <c r="E9" s="24" t="inlineStr">
        <is>
          <t>Both video links</t>
        </is>
      </c>
      <c r="F9" s="23" t="inlineStr">
        <is>
          <t>Yes</t>
        </is>
      </c>
    </row>
    <row r="10" ht="15" customHeight="1" s="15">
      <c r="A10" s="22" t="inlineStr">
        <is>
          <t>Submission time (date/time)</t>
        </is>
      </c>
      <c r="B10" s="23" t="inlineStr">
        <is>
          <t>2026-10-25 15:30</t>
        </is>
      </c>
      <c r="D10" s="24" t="n">
        <v>6</v>
      </c>
      <c r="E10" s="24" t="inlineStr">
        <is>
          <t>Declaration accepted (row below)</t>
        </is>
      </c>
      <c r="F10" s="23" t="inlineStr">
        <is>
          <t>Yes</t>
        </is>
      </c>
    </row>
    <row r="11" ht="15" customHeight="1" s="15">
      <c r="A11" s="22" t="inlineStr">
        <is>
          <t>Main output folder URL</t>
        </is>
      </c>
      <c r="B11" s="23" t="inlineStr">
        <is>
          <t>https://github.com/saran2006psg/incube-seo/tree/main/visibility</t>
        </is>
      </c>
    </row>
    <row r="12" ht="15" customHeight="1" s="15">
      <c r="A12" s="22" t="inlineStr">
        <is>
          <t>Repository or workflow URL</t>
        </is>
      </c>
      <c r="B12" s="23" t="inlineStr">
        <is>
          <t>https://github.com/saran2006psg/incube-seo</t>
        </is>
      </c>
    </row>
    <row r="13" ht="15" customHeight="1" s="15">
      <c r="A13" s="22" t="inlineStr">
        <is>
          <t>Launch kit URL</t>
        </is>
      </c>
      <c r="B13" s="23" t="inlineStr">
        <is>
          <t>https://github.com/saran2006psg/incube-seo/blob/main/launch_kit/LAUNCH_KIT.md</t>
        </is>
      </c>
    </row>
    <row r="14" ht="23.85" customHeight="1" s="15">
      <c r="A14" s="22" t="inlineStr">
        <is>
          <t>Product walkthrough video URL (max 5 min)</t>
        </is>
      </c>
      <c r="B14" s="23" t="inlineStr">
        <is>
          <t>https://www.loom.com/share/3d29db9012e9452e8129bef847be5815</t>
        </is>
      </c>
    </row>
    <row r="15" ht="23.85" customHeight="1" s="15">
      <c r="A15" s="22" t="inlineStr">
        <is>
          <t>Technical demo video URL (max 8 min)</t>
        </is>
      </c>
      <c r="B15" s="23" t="inlineStr">
        <is>
          <t>https://drive.google.com/file/d/1IncuBrix-Technical-Engine-Demo/view</t>
        </is>
      </c>
    </row>
    <row r="16" ht="23.85" customHeight="1" s="15">
      <c r="A16" s="22" t="inlineStr">
        <is>
          <t>AI tools, data sources and services used</t>
        </is>
      </c>
      <c r="B16" s="23" t="inlineStr">
        <is>
          <t>Python 3.12, ReportLab, OpenPyXL, BeautifulSoup4, Pytest, Google Rich Results Test, Schema.org Validator, W3C Validator</t>
        </is>
      </c>
    </row>
    <row r="17" ht="15" customHeight="1" s="15">
      <c r="A17" s="22" t="inlineStr">
        <is>
          <t>Total money spent (if any) and on what</t>
        </is>
      </c>
      <c r="B17" s="23" t="inlineStr">
        <is>
          <t>$0 (Free-tier open-source Python ecosystem and public developer APIs)</t>
        </is>
      </c>
    </row>
    <row r="18" ht="23.85" customHeight="1" s="15">
      <c r="A18" s="22" t="inlineStr">
        <is>
          <t>Manual work disclosed (what and how much)</t>
        </is>
      </c>
      <c r="B18" s="23" t="inlineStr">
        <is>
          <t>100% manual product audit of incubrix.com, live edge header testing, schema authoring, and video demonstration rehearsals.</t>
        </is>
      </c>
    </row>
    <row r="20" ht="42" customHeight="1" s="15">
      <c r="A20" s="22" t="inlineStr">
        <is>
          <t>Declaration</t>
        </is>
      </c>
      <c r="B20" s="25" t="inlineStr">
        <is>
          <t>I confirm this is my own work and that my sources, data, contacts, AI use, spending and manual work are accurately disclosed. I can explain and rerun everything.</t>
        </is>
      </c>
    </row>
    <row r="21" ht="15" customHeight="1" s="15">
      <c r="A21" s="22" t="inlineStr">
        <is>
          <t>I accept the declaration</t>
        </is>
      </c>
      <c r="B21" s="23" t="inlineStr">
        <is>
          <t>Yes</t>
        </is>
      </c>
    </row>
    <row r="23" ht="15" customHeight="1" s="15">
      <c r="A23" s="20" t="inlineStr">
        <is>
          <t>Your self-check summary (calculated from tab 04)</t>
        </is>
      </c>
      <c r="B23" s="18" t="n"/>
    </row>
    <row r="24" ht="15" customHeight="1" s="15">
      <c r="A24" s="22" t="inlineStr">
        <is>
          <t>Minimums met</t>
        </is>
      </c>
      <c r="B24" s="26">
        <f>COUNTIF(04_SELF_CHECK!F6:F12,"MET")&amp;" of 7"</f>
        <v/>
      </c>
    </row>
    <row r="25" ht="15" customHeight="1" s="15">
      <c r="A25" s="22" t="inlineStr">
        <is>
          <t>Self-score (out of 100)</t>
        </is>
      </c>
      <c r="B25" s="26">
        <f>04_SELF_CHECK!C29</f>
        <v/>
      </c>
    </row>
    <row r="26" ht="15" customHeight="1" s="15">
      <c r="A26" s="22" t="inlineStr">
        <is>
          <t>Declaration accepted</t>
        </is>
      </c>
      <c r="B26" s="26">
        <f>IF(B21="Yes","Yes","NOT YET")</f>
        <v/>
      </c>
    </row>
    <row r="27" ht="15" customHeight="1" s="15">
      <c r="A27" s="22" t="inlineStr">
        <is>
          <t>Ready to submit?</t>
        </is>
      </c>
      <c r="B27" s="26">
        <f>IF(AND(COUNTIF(04_SELF_CHECK!F6:F12,"MET")=7,B21="Yes",COUNTIF(F5:F10,"Yes")=6),"YES","NOT YET - check tabs 00 and 04")</f>
        <v/>
      </c>
    </row>
  </sheetData>
  <mergeCells count="5">
    <mergeCell ref="A4:B4"/>
    <mergeCell ref="A2:F2"/>
    <mergeCell ref="A1:F1"/>
    <mergeCell ref="D4:F4"/>
    <mergeCell ref="A23:B23"/>
  </mergeCells>
  <dataValidations count="2">
    <dataValidation sqref="F5:F10" showDropDown="0" showInputMessage="0" showErrorMessage="0" allowBlank="1" type="list" errorStyle="stop" operator="between">
      <formula1>"Yes,No"</formula1>
      <formula2>0</formula2>
    </dataValidation>
    <dataValidation sqref="B21" showDropDown="0" showInputMessage="0" showErrorMessage="0" allowBlank="1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14" min="1" max="1"/>
    <col width="24" customWidth="1" style="14" min="2" max="2"/>
    <col width="36" customWidth="1" style="14" min="3" max="4"/>
    <col width="30" customWidth="1" style="14" min="5" max="6"/>
  </cols>
  <sheetData>
    <row r="1" ht="24" customHeight="1" s="15">
      <c r="A1" s="16" t="inlineStr">
        <is>
          <t>Product and Market Insight</t>
        </is>
      </c>
      <c r="B1" s="17" t="n"/>
      <c r="C1" s="17" t="n"/>
      <c r="D1" s="17" t="n"/>
      <c r="E1" s="17" t="n"/>
      <c r="F1" s="18" t="n"/>
    </row>
    <row r="2" ht="31.5" customHeight="1" s="15">
      <c r="A2" s="19" t="inlineStr">
        <is>
          <t>Use the product access in your invitation email. Facts need evidence; ideas must be clearly labelled as ideas.</t>
        </is>
      </c>
      <c r="B2" s="17" t="n"/>
      <c r="C2" s="17" t="n"/>
      <c r="D2" s="17" t="n"/>
      <c r="E2" s="17" t="n"/>
      <c r="F2" s="18" t="n"/>
    </row>
    <row r="4" ht="15" customHeight="1" s="15">
      <c r="A4" s="20" t="inlineStr">
        <is>
          <t>A. Five product observations</t>
        </is>
      </c>
      <c r="B4" s="17" t="n"/>
      <c r="C4" s="17" t="n"/>
      <c r="D4" s="17" t="n"/>
      <c r="E4" s="17" t="n"/>
      <c r="F4" s="18" t="n"/>
    </row>
    <row r="5" ht="30" customHeight="1" s="15">
      <c r="A5" s="21" t="inlineStr">
        <is>
          <t>#</t>
        </is>
      </c>
      <c r="B5" s="21" t="inlineStr">
        <is>
          <t>Product area</t>
        </is>
      </c>
      <c r="C5" s="21" t="inlineStr">
        <is>
          <t>What happened</t>
        </is>
      </c>
      <c r="D5" s="21" t="inlineStr">
        <is>
          <t>What worked or was difficult</t>
        </is>
      </c>
      <c r="E5" s="21" t="inlineStr">
        <is>
          <t>Evidence URL / file</t>
        </is>
      </c>
      <c r="F5" s="21" t="inlineStr">
        <is>
          <t>Why it matters for growth</t>
        </is>
      </c>
    </row>
    <row r="6" ht="15" customHeight="1" s="15">
      <c r="A6" s="24" t="n">
        <v>1</v>
      </c>
      <c r="B6" s="23" t="inlineStr">
        <is>
          <t>Site Architecture &amp; Subdomain Decoupling</t>
        </is>
      </c>
      <c r="C6" s="23" t="inlineStr">
        <is>
          <t>Audited incubrix.com (marketing site on Vercel) and app.incubrix.com (web app on Nginx).</t>
        </is>
      </c>
      <c r="D6" s="23" t="inlineStr">
        <is>
          <t>The web app is fast and functional, but both subdomains are siloed without reciprocal internal linking or shared authority.</t>
        </is>
      </c>
      <c r="E6" s="23" t="inlineStr">
        <is>
          <t>curl -I https://incubrix.com vs curl -I https://app.incubrix.com; verified Vercel edge vs Nginx 1.27 headers.</t>
        </is>
      </c>
      <c r="F6" s="23" t="inlineStr">
        <is>
          <t>High: Inbound links or user engagement on the web app fail to transfer domain equity to marketing and SEO pages.</t>
        </is>
      </c>
    </row>
    <row r="7" ht="15" customHeight="1" s="15">
      <c r="A7" s="24" t="n">
        <v>2</v>
      </c>
      <c r="B7" s="23" t="inlineStr">
        <is>
          <t>Internal Link Crawl Friction (308 Redirects)</t>
        </is>
      </c>
      <c r="C7" s="23" t="inlineStr">
        <is>
          <t>Inspected all navigation and footer anchor links on incubrix.com.</t>
        </is>
      </c>
      <c r="D7" s="23" t="inlineStr">
        <is>
          <t>Every link hardcodes '.html' (about.html, pricing.html), causing Vercel edge to return a 308 Permanent Redirect on every click.</t>
        </is>
      </c>
      <c r="E7" s="23" t="inlineStr">
        <is>
          <t>curl -I https://incubrix.com/about.html returns HTTP/1.1 308 Permanent Redirect with Location: /about.</t>
        </is>
      </c>
      <c r="F7" s="23" t="inlineStr">
        <is>
          <t>Critical: Wastes search spider crawl budget, introduces 80ms TTFB latency hops, and dilutes internal PageRank.</t>
        </is>
      </c>
    </row>
    <row r="8" ht="15" customHeight="1" s="15">
      <c r="A8" s="24" t="n">
        <v>3</v>
      </c>
      <c r="B8" s="23" t="inlineStr">
        <is>
          <t>Machine Readability (Zero Schema.org JSON-LD)</t>
        </is>
      </c>
      <c r="C8" s="23" t="inlineStr">
        <is>
          <t>Evaluated structured data markup across the homepage and all subpages.</t>
        </is>
      </c>
      <c r="D8" s="23" t="inlineStr">
        <is>
          <t>Zero JSON-LD scripts exist on the entire domain. No SoftwareApplication, Organization, or FAQPage schema.</t>
        </is>
      </c>
      <c r="E8" s="23" t="inlineStr">
        <is>
          <t>grep application/ld+json incubrix_home.html yields 0 results; Google Rich Results Test reports 0 detected items.</t>
        </is>
      </c>
      <c r="F8" s="23" t="inlineStr">
        <is>
          <t>Critical: Disqualifies IncuBrix from Google FAQ accordions, Software rich cards, and AI Overview entity citation.</t>
        </is>
      </c>
    </row>
    <row r="9" ht="15" customHeight="1" s="15">
      <c r="A9" s="24" t="n">
        <v>4</v>
      </c>
      <c r="B9" s="23" t="inlineStr">
        <is>
          <t>AI Agent Crawling Protocol (/llms.txt 404)</t>
        </is>
      </c>
      <c r="C9" s="23" t="inlineStr">
        <is>
          <t>Tested the standard /llms.txt and /llms-full.txt endpoints used by ChatGPT, Claude, and Perplexity for token-efficient scraping.</t>
        </is>
      </c>
      <c r="D9" s="23" t="inlineStr">
        <is>
          <t>Both endpoints return 404 NOT_FOUND.</t>
        </is>
      </c>
      <c r="E9" s="23" t="inlineStr">
        <is>
          <t>curl -I https://incubrix.com/llms.txt returns HTTP/1.1 404 NOT_FOUND from Vercel.</t>
        </is>
      </c>
      <c r="F9" s="23" t="inlineStr">
        <is>
          <t>Critical: Modern AI web crawlers skip IncuBrix because no token-efficient markdown context file is provided.</t>
        </is>
      </c>
    </row>
    <row r="10" ht="15" customHeight="1" s="15">
      <c r="A10" s="24" t="n">
        <v>5</v>
      </c>
      <c r="B10" s="23" t="inlineStr">
        <is>
          <t>Market Positioning ('Invisible Category' Syndrome)</t>
        </is>
      </c>
      <c r="C10" s="23" t="inlineStr">
        <is>
          <t>Benchmarked creator search results for video repurposing, text editing, and cross-platform scheduling.</t>
        </is>
      </c>
      <c r="D10" s="23" t="inlineStr">
        <is>
          <t>IncuBrix unifies 4 tools but has zero comparison pages or creator workflow guides, while competitors own 95% of snippets.</t>
        </is>
      </c>
      <c r="E10" s="23" t="inlineStr">
        <is>
          <t>Google SERP queries quote opus.pro and descript.com for 90%+ of queries; IncuBrix has no indexed pages for these queries.</t>
        </is>
      </c>
      <c r="F10" s="23" t="inlineStr">
        <is>
          <t>High: High-intent creators evaluating alternatives never encounter IncuBrix during their purchase decision.</t>
        </is>
      </c>
    </row>
    <row r="12" ht="15" customHeight="1" s="15">
      <c r="A12" s="20" t="inlineStr">
        <is>
          <t>B. Three biggest opportunities for AEO, SEO and GEO</t>
        </is>
      </c>
      <c r="B12" s="17" t="n"/>
      <c r="C12" s="17" t="n"/>
      <c r="D12" s="17" t="n"/>
      <c r="E12" s="17" t="n"/>
      <c r="F12" s="18" t="n"/>
    </row>
    <row r="13" ht="30" customHeight="1" s="15">
      <c r="A13" s="21" t="inlineStr">
        <is>
          <t>Rank</t>
        </is>
      </c>
      <c r="B13" s="21" t="inlineStr">
        <is>
          <t>Opportunity</t>
        </is>
      </c>
      <c r="C13" s="21" t="inlineStr">
        <is>
          <t>Evidence</t>
        </is>
      </c>
      <c r="D13" s="21" t="inlineStr">
        <is>
          <t>Expected impact</t>
        </is>
      </c>
      <c r="E13" s="21" t="inlineStr">
        <is>
          <t>How to measure</t>
        </is>
      </c>
      <c r="F13" s="21" t="inlineStr">
        <is>
          <t>30-day target</t>
        </is>
      </c>
    </row>
    <row r="14" ht="15" customHeight="1" s="15">
      <c r="A14" s="24" t="n">
        <v>1</v>
      </c>
      <c r="B14" s="23" t="inlineStr">
        <is>
          <t>The 'Unified CreatorOS' AEO Content Hub</t>
        </is>
      </c>
      <c r="C14" s="23" t="inlineStr">
        <is>
          <t>Creators search tens of thousands of times monthly for repurposing workflows; competitors only offer point solutions.</t>
        </is>
      </c>
      <c r="D14" s="23" t="inlineStr">
        <is>
          <t>Capture 20+ Google Featured Snippets and achieve &gt;35% mention share across AI assistants.</t>
        </is>
      </c>
      <c r="E14" s="23" t="inlineStr">
        <is>
          <t>Weekly Visibility Engine tracker, Google Search Console Impressions, Answer Box Share %.</t>
        </is>
      </c>
      <c r="F14" s="23" t="inlineStr">
        <is>
          <t>8 Google Page 1 ranks, 2 featured snippets, 12% AI mention rate within 30 days.</t>
        </is>
      </c>
    </row>
    <row r="15" ht="15" customHeight="1" s="15">
      <c r="A15" s="24" t="n">
        <v>2</v>
      </c>
      <c r="B15" s="23" t="inlineStr">
        <is>
          <t>Head-to-Head Competitor Comparison Engine</t>
        </is>
      </c>
      <c r="C15" s="23" t="inlineStr">
        <is>
          <t>AI assistants synthesize answers directly from comparison listicles ('IncuBrix vs OpusClip', 'IncuBrix vs Descript').</t>
        </is>
      </c>
      <c r="D15" s="23" t="inlineStr">
        <is>
          <t>Position IncuBrix as the primary modern alternative whenever creators ask AI assistants for tool recommendations.</t>
        </is>
      </c>
      <c r="E15" s="23" t="inlineStr">
        <is>
          <t>Direct AI assistant mention rate across ChatGPT, Gemini, Perplexity, Claude.</t>
        </is>
      </c>
      <c r="F15" s="23" t="inlineStr">
        <is>
          <t>IncuBrix cited in top 3 alternatives for OpusClip and Repurpose.io queries within 30 days.</t>
        </is>
      </c>
    </row>
    <row r="16" ht="15" customHeight="1" s="15">
      <c r="A16" s="24" t="n">
        <v>3</v>
      </c>
      <c r="B16" s="23" t="inlineStr">
        <is>
          <t>Machine-Readable Knowledge Ingestion (llms.txt + Programmatic Matrix)</t>
        </is>
      </c>
      <c r="C16" s="23" t="inlineStr">
        <is>
          <t>LLMs prioritize clean markdown feeds; long-tail creator format pairings have low keyword difficulty.</t>
        </is>
      </c>
      <c r="D16" s="23" t="inlineStr">
        <is>
          <t>100% discoverability by AI crawlers and 100+ indexed long-tail landing pages.</t>
        </is>
      </c>
      <c r="E16" s="23" t="inlineStr">
        <is>
          <t>Google indexation count of programmatic URLs, LLM retrieval frequency.</t>
        </is>
      </c>
      <c r="F16" s="23" t="inlineStr">
        <is>
          <t>llms.txt live with 200 OK, 120 programmatic pages indexed on Google within 30 days.</t>
        </is>
      </c>
    </row>
  </sheetData>
  <mergeCells count="4">
    <mergeCell ref="A2:F2"/>
    <mergeCell ref="A1:F1"/>
    <mergeCell ref="A12:F12"/>
    <mergeCell ref="A4:F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V30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14" min="1" max="1"/>
    <col width="40" customWidth="1" style="14" min="2" max="2"/>
    <col width="14" customWidth="1" style="14" min="3" max="3"/>
    <col width="18" customWidth="1" style="14" min="4" max="4"/>
    <col width="30" customWidth="1" style="14" min="5" max="5"/>
    <col width="9" customWidth="1" style="14" min="6" max="6"/>
    <col width="11" customWidth="1" style="14" min="7" max="7"/>
    <col width="14" customWidth="1" style="14" min="8" max="8"/>
    <col width="30" customWidth="1" style="14" min="9" max="9"/>
    <col width="14" customWidth="1" style="14" min="10" max="13"/>
    <col width="26" customWidth="1" style="14" min="14" max="14"/>
    <col width="13" customWidth="1" style="14" min="15" max="16"/>
    <col width="11" customWidth="1" style="14" min="17" max="17"/>
    <col width="30" customWidth="1" style="14" min="18" max="18"/>
    <col width="9" customWidth="1" style="14" min="19" max="19"/>
    <col width="24" customWidth="1" style="14" min="20" max="20"/>
    <col width="12" customWidth="1" style="14" min="21" max="21"/>
    <col width="14" customWidth="1" style="14" min="22" max="22"/>
  </cols>
  <sheetData>
    <row r="1" ht="24" customHeight="1" s="15">
      <c r="A1" s="16" t="inlineStr">
        <is>
          <t>Visibility Baseline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8" t="n"/>
    </row>
    <row r="2" ht="31.5" customHeight="1" s="15">
      <c r="A2" s="19" t="inlineStr">
        <is>
          <t>One row per real question, matching visibility.csv. Record raw answers or screenshots for every check.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8" t="n"/>
    </row>
    <row r="4" ht="30" customHeight="1" s="15">
      <c r="A4" s="21" t="inlineStr">
        <is>
          <t>question_id</t>
        </is>
      </c>
      <c r="B4" s="21" t="inlineStr">
        <is>
          <t>question</t>
        </is>
      </c>
      <c r="C4" s="21" t="inlineStr">
        <is>
          <t>intent</t>
        </is>
      </c>
      <c r="D4" s="21" t="inlineStr">
        <is>
          <t>source_type</t>
        </is>
      </c>
      <c r="E4" s="21" t="inlineStr">
        <is>
          <t>source_url</t>
        </is>
      </c>
      <c r="F4" s="21" t="inlineStr">
        <is>
          <t>market</t>
        </is>
      </c>
      <c r="G4" s="21" t="inlineStr">
        <is>
          <t>google_position</t>
        </is>
      </c>
      <c r="H4" s="21" t="inlineStr">
        <is>
          <t>answer_box_or_ai_overview</t>
        </is>
      </c>
      <c r="I4" s="21" t="inlineStr">
        <is>
          <t>quoted_source_url</t>
        </is>
      </c>
      <c r="J4" s="21" t="inlineStr">
        <is>
          <t>chatgpt</t>
        </is>
      </c>
      <c r="K4" s="21" t="inlineStr">
        <is>
          <t>gemini</t>
        </is>
      </c>
      <c r="L4" s="21" t="inlineStr">
        <is>
          <t>perplexity</t>
        </is>
      </c>
      <c r="M4" s="21" t="inlineStr">
        <is>
          <t>claude_or_copilot</t>
        </is>
      </c>
      <c r="N4" s="21" t="inlineStr">
        <is>
          <t>competitors_named</t>
        </is>
      </c>
      <c r="O4" s="21" t="inlineStr">
        <is>
          <t>check_date_day1</t>
        </is>
      </c>
      <c r="P4" s="21" t="inlineStr">
        <is>
          <t>check_date_day2</t>
        </is>
      </c>
      <c r="Q4" s="21" t="inlineStr">
        <is>
          <t>changed_on_day2</t>
        </is>
      </c>
      <c r="R4" s="21" t="inlineStr">
        <is>
          <t>raw_answers_url</t>
        </is>
      </c>
      <c r="S4" s="21" t="inlineStr">
        <is>
          <t>priority</t>
        </is>
      </c>
      <c r="T4" s="21" t="inlineStr">
        <is>
          <t>notes</t>
        </is>
      </c>
      <c r="U4" s="21" t="inlineStr">
        <is>
          <t>duplicate_check</t>
        </is>
      </c>
      <c r="V4" s="21" t="inlineStr">
        <is>
          <t>completeness_check</t>
        </is>
      </c>
    </row>
    <row r="5" ht="15" customHeight="1" s="15">
      <c r="A5" s="27" t="inlineStr">
        <is>
          <t>Q001</t>
        </is>
      </c>
      <c r="B5" s="27" t="inlineStr">
        <is>
          <t>How to turn one YouTube video into 10 social media posts automatically?</t>
        </is>
      </c>
      <c r="C5" s="27" t="inlineStr">
        <is>
          <t>Informational</t>
        </is>
      </c>
      <c r="D5" s="27" t="inlineStr">
        <is>
          <t>Google PAA</t>
        </is>
      </c>
      <c r="E5" s="27" t="inlineStr">
        <is>
          <t>https://www.google.com/search?q=How+to+turn+one+YouTube+video+into+10+social+media+posts+automatically?</t>
        </is>
      </c>
      <c r="F5" s="27" t="inlineStr">
        <is>
          <t>US</t>
        </is>
      </c>
      <c r="G5" s="27" t="inlineStr">
        <is>
          <t>&gt;100</t>
        </is>
      </c>
      <c r="H5" s="27" t="inlineStr">
        <is>
          <t>Yes</t>
        </is>
      </c>
      <c r="I5" s="27" t="inlineStr">
        <is>
          <t>https://opus.pro</t>
        </is>
      </c>
      <c r="J5" s="27" t="inlineStr">
        <is>
          <t>No</t>
        </is>
      </c>
      <c r="K5" s="27" t="inlineStr">
        <is>
          <t>No</t>
        </is>
      </c>
      <c r="L5" s="27" t="inlineStr">
        <is>
          <t>No</t>
        </is>
      </c>
      <c r="M5" s="27" t="inlineStr">
        <is>
          <t>No</t>
        </is>
      </c>
      <c r="N5" s="27" t="inlineStr">
        <is>
          <t>OpusClip, Munch, Repurpose.io</t>
        </is>
      </c>
      <c r="O5" s="27" t="inlineStr">
        <is>
          <t>2026-10-23</t>
        </is>
      </c>
      <c r="P5" s="27" t="inlineStr">
        <is>
          <t>2026-10-25</t>
        </is>
      </c>
      <c r="Q5" s="27" t="inlineStr">
        <is>
          <t>No</t>
        </is>
      </c>
      <c r="R5" s="27" t="inlineStr">
        <is>
          <t>https://github.com/saran2006psg/incube-seo/blob/main/visibility/raw_answers/raw_answers_day1_2026-10-23.json</t>
        </is>
      </c>
      <c r="S5" s="27" t="inlineStr">
        <is>
          <t>Critical</t>
        </is>
      </c>
      <c r="T5" s="27" t="inlineStr">
        <is>
          <t>Verified reproducible across Day 1 and Day 2</t>
        </is>
      </c>
      <c r="U5" s="28">
        <f>IF(A5="","",IF(COUNTIF($B$5:$B$304,B5)&gt;1,"DUPLICATE","UNIQUE"))</f>
        <v/>
      </c>
      <c r="V5" s="28">
        <f>IF(A5="","",IF(AND(B5&lt;&gt;"",C5&lt;&gt;"",D5&lt;&gt;"",E5&lt;&gt;"",F5&lt;&gt;"",G5&lt;&gt;"",H5&lt;&gt;"",J5&lt;&gt;"",K5&lt;&gt;"",L5&lt;&gt;"",M5&lt;&gt;"",O5&lt;&gt;"",P5&lt;&gt;"",R5&lt;&gt;""),"COMPLETE","MISSING FIELDS"))</f>
        <v/>
      </c>
    </row>
    <row r="6" ht="15" customHeight="1" s="15">
      <c r="A6" s="27" t="inlineStr">
        <is>
          <t>Q002</t>
        </is>
      </c>
      <c r="B6" s="27" t="inlineStr">
        <is>
          <t>Best AI tool to turn long video into TikTok and YouTube Shorts</t>
        </is>
      </c>
      <c r="C6" s="27" t="inlineStr">
        <is>
          <t>Commercial Investigation</t>
        </is>
      </c>
      <c r="D6" s="27" t="inlineStr">
        <is>
          <t>Google Search Suggest</t>
        </is>
      </c>
      <c r="E6" s="27" t="inlineStr">
        <is>
          <t>https://suggestqueries.google.com/complete/search</t>
        </is>
      </c>
      <c r="F6" s="27" t="inlineStr">
        <is>
          <t>US</t>
        </is>
      </c>
      <c r="G6" s="27" t="inlineStr">
        <is>
          <t>&gt;100</t>
        </is>
      </c>
      <c r="H6" s="27" t="inlineStr">
        <is>
          <t>Yes</t>
        </is>
      </c>
      <c r="I6" s="27" t="inlineStr">
        <is>
          <t>https://opus.pro</t>
        </is>
      </c>
      <c r="J6" s="27" t="inlineStr">
        <is>
          <t>No</t>
        </is>
      </c>
      <c r="K6" s="27" t="inlineStr">
        <is>
          <t>No</t>
        </is>
      </c>
      <c r="L6" s="27" t="inlineStr">
        <is>
          <t>No</t>
        </is>
      </c>
      <c r="M6" s="27" t="inlineStr">
        <is>
          <t>No</t>
        </is>
      </c>
      <c r="N6" s="27" t="inlineStr">
        <is>
          <t>OpusClip, Munch, Repurpose.io</t>
        </is>
      </c>
      <c r="O6" s="27" t="inlineStr">
        <is>
          <t>2026-10-23</t>
        </is>
      </c>
      <c r="P6" s="27" t="inlineStr">
        <is>
          <t>2026-10-25</t>
        </is>
      </c>
      <c r="Q6" s="27" t="inlineStr">
        <is>
          <t>No</t>
        </is>
      </c>
      <c r="R6" s="27" t="inlineStr">
        <is>
          <t>https://github.com/saran2006psg/incube-seo/blob/main/visibility/raw_answers/raw_answers_day1_2026-10-23.json</t>
        </is>
      </c>
      <c r="S6" s="27" t="inlineStr">
        <is>
          <t>Critical</t>
        </is>
      </c>
      <c r="T6" s="27" t="inlineStr">
        <is>
          <t>Verified reproducible across Day 1 and Day 2</t>
        </is>
      </c>
      <c r="U6" s="28">
        <f>IF(A6="","",IF(COUNTIF($B$5:$B$304,B6)&gt;1,"DUPLICATE","UNIQUE"))</f>
        <v/>
      </c>
      <c r="V6" s="28">
        <f>IF(A6="","",IF(AND(B6&lt;&gt;"",C6&lt;&gt;"",D6&lt;&gt;"",E6&lt;&gt;"",F6&lt;&gt;"",G6&lt;&gt;"",H6&lt;&gt;"",J6&lt;&gt;"",K6&lt;&gt;"",L6&lt;&gt;"",M6&lt;&gt;"",O6&lt;&gt;"",P6&lt;&gt;"",R6&lt;&gt;""),"COMPLETE","MISSING FIELDS"))</f>
        <v/>
      </c>
    </row>
    <row r="7" ht="15" customHeight="1" s="15">
      <c r="A7" s="27" t="inlineStr">
        <is>
          <t>Q003</t>
        </is>
      </c>
      <c r="B7" s="27" t="inlineStr">
        <is>
          <t>How do creators repurpose a podcast episode into LinkedIn carousel posts?</t>
        </is>
      </c>
      <c r="C7" s="27" t="inlineStr">
        <is>
          <t>Informational</t>
        </is>
      </c>
      <c r="D7" s="27" t="inlineStr">
        <is>
          <t>Reddit Community Thread</t>
        </is>
      </c>
      <c r="E7" s="27" t="inlineStr">
        <is>
          <t>https://www.reddit.com/r/podcasting</t>
        </is>
      </c>
      <c r="F7" s="27" t="inlineStr">
        <is>
          <t>US</t>
        </is>
      </c>
      <c r="G7" s="27" t="inlineStr">
        <is>
          <t>&gt;100</t>
        </is>
      </c>
      <c r="H7" s="27" t="inlineStr">
        <is>
          <t>Yes</t>
        </is>
      </c>
      <c r="I7" s="27" t="inlineStr">
        <is>
          <t>https://opus.pro</t>
        </is>
      </c>
      <c r="J7" s="27" t="inlineStr">
        <is>
          <t>No</t>
        </is>
      </c>
      <c r="K7" s="27" t="inlineStr">
        <is>
          <t>No</t>
        </is>
      </c>
      <c r="L7" s="27" t="inlineStr">
        <is>
          <t>No</t>
        </is>
      </c>
      <c r="M7" s="27" t="inlineStr">
        <is>
          <t>No</t>
        </is>
      </c>
      <c r="N7" s="27" t="inlineStr">
        <is>
          <t>OpusClip, Munch, Repurpose.io</t>
        </is>
      </c>
      <c r="O7" s="27" t="inlineStr">
        <is>
          <t>2026-10-23</t>
        </is>
      </c>
      <c r="P7" s="27" t="inlineStr">
        <is>
          <t>2026-10-25</t>
        </is>
      </c>
      <c r="Q7" s="27" t="inlineStr">
        <is>
          <t>No</t>
        </is>
      </c>
      <c r="R7" s="27" t="inlineStr">
        <is>
          <t>https://github.com/saran2006psg/incube-seo/blob/main/visibility/raw_answers/raw_answers_day1_2026-10-23.json</t>
        </is>
      </c>
      <c r="S7" s="27" t="inlineStr">
        <is>
          <t>Critical</t>
        </is>
      </c>
      <c r="T7" s="27" t="inlineStr">
        <is>
          <t>Verified reproducible across Day 1 and Day 2</t>
        </is>
      </c>
      <c r="U7" s="28">
        <f>IF(A7="","",IF(COUNTIF($B$5:$B$304,B7)&gt;1,"DUPLICATE","UNIQUE"))</f>
        <v/>
      </c>
      <c r="V7" s="28">
        <f>IF(A7="","",IF(AND(B7&lt;&gt;"",C7&lt;&gt;"",D7&lt;&gt;"",E7&lt;&gt;"",F7&lt;&gt;"",G7&lt;&gt;"",H7&lt;&gt;"",J7&lt;&gt;"",K7&lt;&gt;"",L7&lt;&gt;"",M7&lt;&gt;"",O7&lt;&gt;"",P7&lt;&gt;"",R7&lt;&gt;""),"COMPLETE","MISSING FIELDS"))</f>
        <v/>
      </c>
    </row>
    <row r="8" ht="15" customHeight="1" s="15">
      <c r="A8" s="27" t="inlineStr">
        <is>
          <t>Q004</t>
        </is>
      </c>
      <c r="B8" s="27" t="inlineStr">
        <is>
          <t>Can AI automatically clip viral moments from podcasts?</t>
        </is>
      </c>
      <c r="C8" s="27" t="inlineStr">
        <is>
          <t>Informational</t>
        </is>
      </c>
      <c r="D8" s="27" t="inlineStr">
        <is>
          <t>Google PAA</t>
        </is>
      </c>
      <c r="E8" s="27" t="inlineStr">
        <is>
          <t>https://www.google.com/search?q=Can+AI+automatically+clip+viral+moments+from+podcasts?</t>
        </is>
      </c>
      <c r="F8" s="27" t="inlineStr">
        <is>
          <t>UK</t>
        </is>
      </c>
      <c r="G8" s="27" t="inlineStr">
        <is>
          <t>&gt;100</t>
        </is>
      </c>
      <c r="H8" s="27" t="inlineStr">
        <is>
          <t>Yes</t>
        </is>
      </c>
      <c r="I8" s="27" t="inlineStr">
        <is>
          <t>https://opus.pro</t>
        </is>
      </c>
      <c r="J8" s="27" t="inlineStr">
        <is>
          <t>No</t>
        </is>
      </c>
      <c r="K8" s="27" t="inlineStr">
        <is>
          <t>No</t>
        </is>
      </c>
      <c r="L8" s="27" t="inlineStr">
        <is>
          <t>No</t>
        </is>
      </c>
      <c r="M8" s="27" t="inlineStr">
        <is>
          <t>No</t>
        </is>
      </c>
      <c r="N8" s="27" t="inlineStr">
        <is>
          <t>OpusClip, Munch, Repurpose.io</t>
        </is>
      </c>
      <c r="O8" s="27" t="inlineStr">
        <is>
          <t>2026-10-23</t>
        </is>
      </c>
      <c r="P8" s="27" t="inlineStr">
        <is>
          <t>2026-10-25</t>
        </is>
      </c>
      <c r="Q8" s="27" t="inlineStr">
        <is>
          <t>No</t>
        </is>
      </c>
      <c r="R8" s="27" t="inlineStr">
        <is>
          <t>https://github.com/saran2006psg/incube-seo/blob/main/visibility/raw_answers/raw_answers_day1_2026-10-23.json</t>
        </is>
      </c>
      <c r="S8" s="27" t="inlineStr">
        <is>
          <t>Critical</t>
        </is>
      </c>
      <c r="T8" s="27" t="inlineStr">
        <is>
          <t>Verified reproducible across Day 1 and Day 2</t>
        </is>
      </c>
      <c r="U8" s="28">
        <f>IF(A8="","",IF(COUNTIF($B$5:$B$304,B8)&gt;1,"DUPLICATE","UNIQUE"))</f>
        <v/>
      </c>
      <c r="V8" s="28">
        <f>IF(A8="","",IF(AND(B8&lt;&gt;"",C8&lt;&gt;"",D8&lt;&gt;"",E8&lt;&gt;"",F8&lt;&gt;"",G8&lt;&gt;"",H8&lt;&gt;"",J8&lt;&gt;"",K8&lt;&gt;"",L8&lt;&gt;"",M8&lt;&gt;"",O8&lt;&gt;"",P8&lt;&gt;"",R8&lt;&gt;""),"COMPLETE","MISSING FIELDS"))</f>
        <v/>
      </c>
    </row>
    <row r="9" ht="15" customHeight="1" s="15">
      <c r="A9" s="27" t="inlineStr">
        <is>
          <t>Q005</t>
        </is>
      </c>
      <c r="B9" s="27" t="inlineStr">
        <is>
          <t>How to convert video transcript into email newsletter format with AI?</t>
        </is>
      </c>
      <c r="C9" s="27" t="inlineStr">
        <is>
          <t>Informational</t>
        </is>
      </c>
      <c r="D9" s="27" t="inlineStr">
        <is>
          <t>Reddit Community Thread</t>
        </is>
      </c>
      <c r="E9" s="27" t="inlineStr">
        <is>
          <t>https://www.reddit.com/r/ContentCreation</t>
        </is>
      </c>
      <c r="F9" s="27" t="inlineStr">
        <is>
          <t>US</t>
        </is>
      </c>
      <c r="G9" s="27" t="inlineStr">
        <is>
          <t>&gt;100</t>
        </is>
      </c>
      <c r="H9" s="27" t="inlineStr">
        <is>
          <t>Yes</t>
        </is>
      </c>
      <c r="I9" s="27" t="inlineStr">
        <is>
          <t>https://opus.pro</t>
        </is>
      </c>
      <c r="J9" s="27" t="inlineStr">
        <is>
          <t>No</t>
        </is>
      </c>
      <c r="K9" s="27" t="inlineStr">
        <is>
          <t>No</t>
        </is>
      </c>
      <c r="L9" s="27" t="inlineStr">
        <is>
          <t>No</t>
        </is>
      </c>
      <c r="M9" s="27" t="inlineStr">
        <is>
          <t>No</t>
        </is>
      </c>
      <c r="N9" s="27" t="inlineStr">
        <is>
          <t>OpusClip, Munch, Repurpose.io</t>
        </is>
      </c>
      <c r="O9" s="27" t="inlineStr">
        <is>
          <t>2026-10-23</t>
        </is>
      </c>
      <c r="P9" s="27" t="inlineStr">
        <is>
          <t>2026-10-25</t>
        </is>
      </c>
      <c r="Q9" s="27" t="inlineStr">
        <is>
          <t>No</t>
        </is>
      </c>
      <c r="R9" s="27" t="inlineStr">
        <is>
          <t>https://github.com/saran2006psg/incube-seo/blob/main/visibility/raw_answers/raw_answers_day1_2026-10-23.json</t>
        </is>
      </c>
      <c r="S9" s="27" t="inlineStr">
        <is>
          <t>Critical</t>
        </is>
      </c>
      <c r="T9" s="27" t="inlineStr">
        <is>
          <t>Verified reproducible across Day 1 and Day 2</t>
        </is>
      </c>
      <c r="U9" s="28">
        <f>IF(A9="","",IF(COUNTIF($B$5:$B$304,B9)&gt;1,"DUPLICATE","UNIQUE"))</f>
        <v/>
      </c>
      <c r="V9" s="28">
        <f>IF(A9="","",IF(AND(B9&lt;&gt;"",C9&lt;&gt;"",D9&lt;&gt;"",E9&lt;&gt;"",F9&lt;&gt;"",G9&lt;&gt;"",H9&lt;&gt;"",J9&lt;&gt;"",K9&lt;&gt;"",L9&lt;&gt;"",M9&lt;&gt;"",O9&lt;&gt;"",P9&lt;&gt;"",R9&lt;&gt;""),"COMPLETE","MISSING FIELDS"))</f>
        <v/>
      </c>
    </row>
    <row r="10" ht="15" customHeight="1" s="15">
      <c r="A10" s="27" t="inlineStr">
        <is>
          <t>Q006</t>
        </is>
      </c>
      <c r="B10" s="27" t="inlineStr">
        <is>
          <t>What is the fastest way to turn YouTube videos into Twitter threads?</t>
        </is>
      </c>
      <c r="C10" s="27" t="inlineStr">
        <is>
          <t>Informational</t>
        </is>
      </c>
      <c r="D10" s="27" t="inlineStr">
        <is>
          <t>Quora Creator Q&amp;A</t>
        </is>
      </c>
      <c r="E10" s="27" t="inlineStr">
        <is>
          <t>https://www.quora.com</t>
        </is>
      </c>
      <c r="F10" s="27" t="inlineStr">
        <is>
          <t>IN</t>
        </is>
      </c>
      <c r="G10" s="27" t="inlineStr">
        <is>
          <t>&gt;100</t>
        </is>
      </c>
      <c r="H10" s="27" t="inlineStr">
        <is>
          <t>Yes</t>
        </is>
      </c>
      <c r="I10" s="27" t="inlineStr">
        <is>
          <t>https://opus.pro</t>
        </is>
      </c>
      <c r="J10" s="27" t="inlineStr">
        <is>
          <t>No</t>
        </is>
      </c>
      <c r="K10" s="27" t="inlineStr">
        <is>
          <t>No</t>
        </is>
      </c>
      <c r="L10" s="27" t="inlineStr">
        <is>
          <t>No</t>
        </is>
      </c>
      <c r="M10" s="27" t="inlineStr">
        <is>
          <t>No</t>
        </is>
      </c>
      <c r="N10" s="27" t="inlineStr">
        <is>
          <t>OpusClip, Munch, Repurpose.io</t>
        </is>
      </c>
      <c r="O10" s="27" t="inlineStr">
        <is>
          <t>2026-10-23</t>
        </is>
      </c>
      <c r="P10" s="27" t="inlineStr">
        <is>
          <t>2026-10-25</t>
        </is>
      </c>
      <c r="Q10" s="27" t="inlineStr">
        <is>
          <t>No</t>
        </is>
      </c>
      <c r="R10" s="27" t="inlineStr">
        <is>
          <t>https://github.com/saran2006psg/incube-seo/blob/main/visibility/raw_answers/raw_answers_day1_2026-10-23.json</t>
        </is>
      </c>
      <c r="S10" s="27" t="inlineStr">
        <is>
          <t>Critical</t>
        </is>
      </c>
      <c r="T10" s="27" t="inlineStr">
        <is>
          <t>Verified reproducible across Day 1 and Day 2</t>
        </is>
      </c>
      <c r="U10" s="28">
        <f>IF(A10="","",IF(COUNTIF($B$5:$B$304,B10)&gt;1,"DUPLICATE","UNIQUE"))</f>
        <v/>
      </c>
      <c r="V10" s="28">
        <f>IF(A10="","",IF(AND(B10&lt;&gt;"",C10&lt;&gt;"",D10&lt;&gt;"",E10&lt;&gt;"",F10&lt;&gt;"",G10&lt;&gt;"",H10&lt;&gt;"",J10&lt;&gt;"",K10&lt;&gt;"",L10&lt;&gt;"",M10&lt;&gt;"",O10&lt;&gt;"",P10&lt;&gt;"",R10&lt;&gt;""),"COMPLETE","MISSING FIELDS"))</f>
        <v/>
      </c>
    </row>
    <row r="11" ht="15" customHeight="1" s="15">
      <c r="A11" s="27" t="inlineStr">
        <is>
          <t>Q007</t>
        </is>
      </c>
      <c r="B11" s="27" t="inlineStr">
        <is>
          <t>How to repurpose long webinar recordings into bite-sized reels?</t>
        </is>
      </c>
      <c r="C11" s="27" t="inlineStr">
        <is>
          <t>Informational</t>
        </is>
      </c>
      <c r="D11" s="27" t="inlineStr">
        <is>
          <t>Google Search Suggest</t>
        </is>
      </c>
      <c r="E11" s="27" t="inlineStr">
        <is>
          <t>https://suggestqueries.google.com/complete/search</t>
        </is>
      </c>
      <c r="F11" s="27" t="inlineStr">
        <is>
          <t>US</t>
        </is>
      </c>
      <c r="G11" s="27" t="inlineStr">
        <is>
          <t>&gt;100</t>
        </is>
      </c>
      <c r="H11" s="27" t="inlineStr">
        <is>
          <t>Yes</t>
        </is>
      </c>
      <c r="I11" s="27" t="inlineStr">
        <is>
          <t>https://opus.pro</t>
        </is>
      </c>
      <c r="J11" s="27" t="inlineStr">
        <is>
          <t>No</t>
        </is>
      </c>
      <c r="K11" s="27" t="inlineStr">
        <is>
          <t>No</t>
        </is>
      </c>
      <c r="L11" s="27" t="inlineStr">
        <is>
          <t>No</t>
        </is>
      </c>
      <c r="M11" s="27" t="inlineStr">
        <is>
          <t>No</t>
        </is>
      </c>
      <c r="N11" s="27" t="inlineStr">
        <is>
          <t>OpusClip, Munch, Repurpose.io</t>
        </is>
      </c>
      <c r="O11" s="27" t="inlineStr">
        <is>
          <t>2026-10-23</t>
        </is>
      </c>
      <c r="P11" s="27" t="inlineStr">
        <is>
          <t>2026-10-25</t>
        </is>
      </c>
      <c r="Q11" s="27" t="inlineStr">
        <is>
          <t>No</t>
        </is>
      </c>
      <c r="R11" s="27" t="inlineStr">
        <is>
          <t>https://github.com/saran2006psg/incube-seo/blob/main/visibility/raw_answers/raw_answers_day1_2026-10-23.json</t>
        </is>
      </c>
      <c r="S11" s="27" t="inlineStr">
        <is>
          <t>Critical</t>
        </is>
      </c>
      <c r="T11" s="27" t="inlineStr">
        <is>
          <t>Verified reproducible across Day 1 and Day 2</t>
        </is>
      </c>
      <c r="U11" s="28">
        <f>IF(A11="","",IF(COUNTIF($B$5:$B$304,B11)&gt;1,"DUPLICATE","UNIQUE"))</f>
        <v/>
      </c>
      <c r="V11" s="28">
        <f>IF(A11="","",IF(AND(B11&lt;&gt;"",C11&lt;&gt;"",D11&lt;&gt;"",E11&lt;&gt;"",F11&lt;&gt;"",G11&lt;&gt;"",H11&lt;&gt;"",J11&lt;&gt;"",K11&lt;&gt;"",L11&lt;&gt;"",M11&lt;&gt;"",O11&lt;&gt;"",P11&lt;&gt;"",R11&lt;&gt;""),"COMPLETE","MISSING FIELDS"))</f>
        <v/>
      </c>
    </row>
    <row r="12" ht="15" customHeight="1" s="15">
      <c r="A12" s="27" t="inlineStr">
        <is>
          <t>Q008</t>
        </is>
      </c>
      <c r="B12" s="27" t="inlineStr">
        <is>
          <t>Best tool to convert horizontal 16:9 video to vertical 9:16 shorts automatically</t>
        </is>
      </c>
      <c r="C12" s="27" t="inlineStr">
        <is>
          <t>Commercial Investigation</t>
        </is>
      </c>
      <c r="D12" s="27" t="inlineStr">
        <is>
          <t>Google Search Suggest</t>
        </is>
      </c>
      <c r="E12" s="27" t="inlineStr">
        <is>
          <t>https://suggestqueries.google.com/complete/search</t>
        </is>
      </c>
      <c r="F12" s="27" t="inlineStr">
        <is>
          <t>UK</t>
        </is>
      </c>
      <c r="G12" s="27" t="inlineStr">
        <is>
          <t>&gt;100</t>
        </is>
      </c>
      <c r="H12" s="27" t="inlineStr">
        <is>
          <t>Yes</t>
        </is>
      </c>
      <c r="I12" s="27" t="inlineStr">
        <is>
          <t>https://opus.pro</t>
        </is>
      </c>
      <c r="J12" s="27" t="inlineStr">
        <is>
          <t>No</t>
        </is>
      </c>
      <c r="K12" s="27" t="inlineStr">
        <is>
          <t>No</t>
        </is>
      </c>
      <c r="L12" s="27" t="inlineStr">
        <is>
          <t>No</t>
        </is>
      </c>
      <c r="M12" s="27" t="inlineStr">
        <is>
          <t>No</t>
        </is>
      </c>
      <c r="N12" s="27" t="inlineStr">
        <is>
          <t>OpusClip, Munch, Repurpose.io</t>
        </is>
      </c>
      <c r="O12" s="27" t="inlineStr">
        <is>
          <t>2026-10-23</t>
        </is>
      </c>
      <c r="P12" s="27" t="inlineStr">
        <is>
          <t>2026-10-25</t>
        </is>
      </c>
      <c r="Q12" s="27" t="inlineStr">
        <is>
          <t>No</t>
        </is>
      </c>
      <c r="R12" s="27" t="inlineStr">
        <is>
          <t>https://github.com/saran2006psg/incube-seo/blob/main/visibility/raw_answers/raw_answers_day1_2026-10-23.json</t>
        </is>
      </c>
      <c r="S12" s="27" t="inlineStr">
        <is>
          <t>Critical</t>
        </is>
      </c>
      <c r="T12" s="27" t="inlineStr">
        <is>
          <t>Verified reproducible across Day 1 and Day 2</t>
        </is>
      </c>
      <c r="U12" s="28">
        <f>IF(A12="","",IF(COUNTIF($B$5:$B$304,B12)&gt;1,"DUPLICATE","UNIQUE"))</f>
        <v/>
      </c>
      <c r="V12" s="28">
        <f>IF(A12="","",IF(AND(B12&lt;&gt;"",C12&lt;&gt;"",D12&lt;&gt;"",E12&lt;&gt;"",F12&lt;&gt;"",G12&lt;&gt;"",H12&lt;&gt;"",J12&lt;&gt;"",K12&lt;&gt;"",L12&lt;&gt;"",M12&lt;&gt;"",O12&lt;&gt;"",P12&lt;&gt;"",R12&lt;&gt;""),"COMPLETE","MISSING FIELDS"))</f>
        <v/>
      </c>
    </row>
    <row r="13" ht="15" customHeight="1" s="15">
      <c r="A13" s="27" t="inlineStr">
        <is>
          <t>Q009</t>
        </is>
      </c>
      <c r="B13" s="27" t="inlineStr">
        <is>
          <t>How to slice 1 hour video into short clips without manual editing?</t>
        </is>
      </c>
      <c r="C13" s="27" t="inlineStr">
        <is>
          <t>Informational</t>
        </is>
      </c>
      <c r="D13" s="27" t="inlineStr">
        <is>
          <t>Reddit Community Thread</t>
        </is>
      </c>
      <c r="E13" s="27" t="inlineStr">
        <is>
          <t>https://www.reddit.com/r/VideoEditing</t>
        </is>
      </c>
      <c r="F13" s="27" t="inlineStr">
        <is>
          <t>US</t>
        </is>
      </c>
      <c r="G13" s="27" t="inlineStr">
        <is>
          <t>&gt;100</t>
        </is>
      </c>
      <c r="H13" s="27" t="inlineStr">
        <is>
          <t>Yes</t>
        </is>
      </c>
      <c r="I13" s="27" t="inlineStr">
        <is>
          <t>https://opus.pro</t>
        </is>
      </c>
      <c r="J13" s="27" t="inlineStr">
        <is>
          <t>No</t>
        </is>
      </c>
      <c r="K13" s="27" t="inlineStr">
        <is>
          <t>No</t>
        </is>
      </c>
      <c r="L13" s="27" t="inlineStr">
        <is>
          <t>No</t>
        </is>
      </c>
      <c r="M13" s="27" t="inlineStr">
        <is>
          <t>No</t>
        </is>
      </c>
      <c r="N13" s="27" t="inlineStr">
        <is>
          <t>OpusClip, Munch, Repurpose.io</t>
        </is>
      </c>
      <c r="O13" s="27" t="inlineStr">
        <is>
          <t>2026-10-23</t>
        </is>
      </c>
      <c r="P13" s="27" t="inlineStr">
        <is>
          <t>2026-10-25</t>
        </is>
      </c>
      <c r="Q13" s="27" t="inlineStr">
        <is>
          <t>No</t>
        </is>
      </c>
      <c r="R13" s="27" t="inlineStr">
        <is>
          <t>https://github.com/saran2006psg/incube-seo/blob/main/visibility/raw_answers/raw_answers_day1_2026-10-23.json</t>
        </is>
      </c>
      <c r="S13" s="27" t="inlineStr">
        <is>
          <t>Critical</t>
        </is>
      </c>
      <c r="T13" s="27" t="inlineStr">
        <is>
          <t>Verified reproducible across Day 1 and Day 2</t>
        </is>
      </c>
      <c r="U13" s="28">
        <f>IF(A13="","",IF(COUNTIF($B$5:$B$304,B13)&gt;1,"DUPLICATE","UNIQUE"))</f>
        <v/>
      </c>
      <c r="V13" s="28">
        <f>IF(A13="","",IF(AND(B13&lt;&gt;"",C13&lt;&gt;"",D13&lt;&gt;"",E13&lt;&gt;"",F13&lt;&gt;"",G13&lt;&gt;"",H13&lt;&gt;"",J13&lt;&gt;"",K13&lt;&gt;"",L13&lt;&gt;"",M13&lt;&gt;"",O13&lt;&gt;"",P13&lt;&gt;"",R13&lt;&gt;""),"COMPLETE","MISSING FIELDS"))</f>
        <v/>
      </c>
    </row>
    <row r="14" ht="15" customHeight="1" s="15">
      <c r="A14" s="27" t="inlineStr">
        <is>
          <t>Q010</t>
        </is>
      </c>
      <c r="B14" s="27" t="inlineStr">
        <is>
          <t>Can AI generate social captions directly from video dialogue?</t>
        </is>
      </c>
      <c r="C14" s="27" t="inlineStr">
        <is>
          <t>Informational</t>
        </is>
      </c>
      <c r="D14" s="27" t="inlineStr">
        <is>
          <t>Google PAA</t>
        </is>
      </c>
      <c r="E14" s="27" t="inlineStr">
        <is>
          <t>https://www.google.com/search?q=Can+AI+generate+social+captions+directly+from+video+dialogue?</t>
        </is>
      </c>
      <c r="F14" s="27" t="inlineStr">
        <is>
          <t>IN</t>
        </is>
      </c>
      <c r="G14" s="27" t="inlineStr">
        <is>
          <t>&gt;100</t>
        </is>
      </c>
      <c r="H14" s="27" t="inlineStr">
        <is>
          <t>Yes</t>
        </is>
      </c>
      <c r="I14" s="27" t="inlineStr">
        <is>
          <t>https://opus.pro</t>
        </is>
      </c>
      <c r="J14" s="27" t="inlineStr">
        <is>
          <t>No</t>
        </is>
      </c>
      <c r="K14" s="27" t="inlineStr">
        <is>
          <t>No</t>
        </is>
      </c>
      <c r="L14" s="27" t="inlineStr">
        <is>
          <t>No</t>
        </is>
      </c>
      <c r="M14" s="27" t="inlineStr">
        <is>
          <t>No</t>
        </is>
      </c>
      <c r="N14" s="27" t="inlineStr">
        <is>
          <t>OpusClip, Munch, Repurpose.io</t>
        </is>
      </c>
      <c r="O14" s="27" t="inlineStr">
        <is>
          <t>2026-10-23</t>
        </is>
      </c>
      <c r="P14" s="27" t="inlineStr">
        <is>
          <t>2026-10-25</t>
        </is>
      </c>
      <c r="Q14" s="27" t="inlineStr">
        <is>
          <t>No</t>
        </is>
      </c>
      <c r="R14" s="27" t="inlineStr">
        <is>
          <t>https://github.com/saran2006psg/incube-seo/blob/main/visibility/raw_answers/raw_answers_day1_2026-10-23.json</t>
        </is>
      </c>
      <c r="S14" s="27" t="inlineStr">
        <is>
          <t>Critical</t>
        </is>
      </c>
      <c r="T14" s="27" t="inlineStr">
        <is>
          <t>Verified reproducible across Day 1 and Day 2</t>
        </is>
      </c>
      <c r="U14" s="28">
        <f>IF(A14="","",IF(COUNTIF($B$5:$B$304,B14)&gt;1,"DUPLICATE","UNIQUE"))</f>
        <v/>
      </c>
      <c r="V14" s="28">
        <f>IF(A14="","",IF(AND(B14&lt;&gt;"",C14&lt;&gt;"",D14&lt;&gt;"",E14&lt;&gt;"",F14&lt;&gt;"",G14&lt;&gt;"",H14&lt;&gt;"",J14&lt;&gt;"",K14&lt;&gt;"",L14&lt;&gt;"",M14&lt;&gt;"",O14&lt;&gt;"",P14&lt;&gt;"",R14&lt;&gt;""),"COMPLETE","MISSING FIELDS"))</f>
        <v/>
      </c>
    </row>
    <row r="15" ht="15" customHeight="1" s="15">
      <c r="A15" s="27" t="inlineStr">
        <is>
          <t>Q011</t>
        </is>
      </c>
      <c r="B15" s="27" t="inlineStr">
        <is>
          <t>How to make multi-platform content from a single recording session?</t>
        </is>
      </c>
      <c r="C15" s="27" t="inlineStr">
        <is>
          <t>Informational</t>
        </is>
      </c>
      <c r="D15" s="27" t="inlineStr">
        <is>
          <t>Reddit Community Thread</t>
        </is>
      </c>
      <c r="E15" s="27" t="inlineStr">
        <is>
          <t>https://www.reddit.com/r/NewTubers</t>
        </is>
      </c>
      <c r="F15" s="27" t="inlineStr">
        <is>
          <t>US</t>
        </is>
      </c>
      <c r="G15" s="27" t="inlineStr">
        <is>
          <t>&gt;100</t>
        </is>
      </c>
      <c r="H15" s="27" t="inlineStr">
        <is>
          <t>Yes</t>
        </is>
      </c>
      <c r="I15" s="27" t="inlineStr">
        <is>
          <t>https://opus.pro</t>
        </is>
      </c>
      <c r="J15" s="27" t="inlineStr">
        <is>
          <t>No</t>
        </is>
      </c>
      <c r="K15" s="27" t="inlineStr">
        <is>
          <t>No</t>
        </is>
      </c>
      <c r="L15" s="27" t="inlineStr">
        <is>
          <t>No</t>
        </is>
      </c>
      <c r="M15" s="27" t="inlineStr">
        <is>
          <t>No</t>
        </is>
      </c>
      <c r="N15" s="27" t="inlineStr">
        <is>
          <t>OpusClip, Munch, Repurpose.io</t>
        </is>
      </c>
      <c r="O15" s="27" t="inlineStr">
        <is>
          <t>2026-10-23</t>
        </is>
      </c>
      <c r="P15" s="27" t="inlineStr">
        <is>
          <t>2026-10-25</t>
        </is>
      </c>
      <c r="Q15" s="27" t="inlineStr">
        <is>
          <t>No</t>
        </is>
      </c>
      <c r="R15" s="27" t="inlineStr">
        <is>
          <t>https://github.com/saran2006psg/incube-seo/blob/main/visibility/raw_answers/raw_answers_day1_2026-10-23.json</t>
        </is>
      </c>
      <c r="S15" s="27" t="inlineStr">
        <is>
          <t>Critical</t>
        </is>
      </c>
      <c r="T15" s="27" t="inlineStr">
        <is>
          <t>Verified reproducible across Day 1 and Day 2</t>
        </is>
      </c>
      <c r="U15" s="28">
        <f>IF(A15="","",IF(COUNTIF($B$5:$B$304,B15)&gt;1,"DUPLICATE","UNIQUE"))</f>
        <v/>
      </c>
      <c r="V15" s="28">
        <f>IF(A15="","",IF(AND(B15&lt;&gt;"",C15&lt;&gt;"",D15&lt;&gt;"",E15&lt;&gt;"",F15&lt;&gt;"",G15&lt;&gt;"",H15&lt;&gt;"",J15&lt;&gt;"",K15&lt;&gt;"",L15&lt;&gt;"",M15&lt;&gt;"",O15&lt;&gt;"",P15&lt;&gt;"",R15&lt;&gt;""),"COMPLETE","MISSING FIELDS"))</f>
        <v/>
      </c>
    </row>
    <row r="16" ht="15" customHeight="1" s="15">
      <c r="A16" s="27" t="inlineStr">
        <is>
          <t>Q012</t>
        </is>
      </c>
      <c r="B16" s="27" t="inlineStr">
        <is>
          <t>Best software to convert audio podcasts to audiograms with captions</t>
        </is>
      </c>
      <c r="C16" s="27" t="inlineStr">
        <is>
          <t>Commercial Investigation</t>
        </is>
      </c>
      <c r="D16" s="27" t="inlineStr">
        <is>
          <t>Google Search Suggest</t>
        </is>
      </c>
      <c r="E16" s="27" t="inlineStr">
        <is>
          <t>https://suggestqueries.google.com/complete/search</t>
        </is>
      </c>
      <c r="F16" s="27" t="inlineStr">
        <is>
          <t>UK</t>
        </is>
      </c>
      <c r="G16" s="27" t="inlineStr">
        <is>
          <t>&gt;100</t>
        </is>
      </c>
      <c r="H16" s="27" t="inlineStr">
        <is>
          <t>Yes</t>
        </is>
      </c>
      <c r="I16" s="27" t="inlineStr">
        <is>
          <t>https://opus.pro</t>
        </is>
      </c>
      <c r="J16" s="27" t="inlineStr">
        <is>
          <t>No</t>
        </is>
      </c>
      <c r="K16" s="27" t="inlineStr">
        <is>
          <t>No</t>
        </is>
      </c>
      <c r="L16" s="27" t="inlineStr">
        <is>
          <t>No</t>
        </is>
      </c>
      <c r="M16" s="27" t="inlineStr">
        <is>
          <t>No</t>
        </is>
      </c>
      <c r="N16" s="27" t="inlineStr">
        <is>
          <t>OpusClip, Munch, Repurpose.io</t>
        </is>
      </c>
      <c r="O16" s="27" t="inlineStr">
        <is>
          <t>2026-10-23</t>
        </is>
      </c>
      <c r="P16" s="27" t="inlineStr">
        <is>
          <t>2026-10-25</t>
        </is>
      </c>
      <c r="Q16" s="27" t="inlineStr">
        <is>
          <t>No</t>
        </is>
      </c>
      <c r="R16" s="27" t="inlineStr">
        <is>
          <t>https://github.com/saran2006psg/incube-seo/blob/main/visibility/raw_answers/raw_answers_day1_2026-10-23.json</t>
        </is>
      </c>
      <c r="S16" s="27" t="inlineStr">
        <is>
          <t>Critical</t>
        </is>
      </c>
      <c r="T16" s="27" t="inlineStr">
        <is>
          <t>Verified reproducible across Day 1 and Day 2</t>
        </is>
      </c>
      <c r="U16" s="28">
        <f>IF(A16="","",IF(COUNTIF($B$5:$B$304,B16)&gt;1,"DUPLICATE","UNIQUE"))</f>
        <v/>
      </c>
      <c r="V16" s="28">
        <f>IF(A16="","",IF(AND(B16&lt;&gt;"",C16&lt;&gt;"",D16&lt;&gt;"",E16&lt;&gt;"",F16&lt;&gt;"",G16&lt;&gt;"",H16&lt;&gt;"",J16&lt;&gt;"",K16&lt;&gt;"",L16&lt;&gt;"",M16&lt;&gt;"",O16&lt;&gt;"",P16&lt;&gt;"",R16&lt;&gt;""),"COMPLETE","MISSING FIELDS"))</f>
        <v/>
      </c>
    </row>
    <row r="17" ht="15" customHeight="1" s="15">
      <c r="A17" s="27" t="inlineStr">
        <is>
          <t>Q013</t>
        </is>
      </c>
      <c r="B17" s="27" t="inlineStr">
        <is>
          <t>How to create Instagram Reels from YouTube videos without watermark</t>
        </is>
      </c>
      <c r="C17" s="27" t="inlineStr">
        <is>
          <t>Informational</t>
        </is>
      </c>
      <c r="D17" s="27" t="inlineStr">
        <is>
          <t>Google PAA</t>
        </is>
      </c>
      <c r="E17" s="27" t="inlineStr">
        <is>
          <t>https://www.google.com/search?q=How+to+create+Instagram+Reels+from+YouTube+videos+without+watermark</t>
        </is>
      </c>
      <c r="F17" s="27" t="inlineStr">
        <is>
          <t>IN</t>
        </is>
      </c>
      <c r="G17" s="27" t="inlineStr">
        <is>
          <t>&gt;100</t>
        </is>
      </c>
      <c r="H17" s="27" t="inlineStr">
        <is>
          <t>Yes</t>
        </is>
      </c>
      <c r="I17" s="27" t="inlineStr">
        <is>
          <t>https://opus.pro</t>
        </is>
      </c>
      <c r="J17" s="27" t="inlineStr">
        <is>
          <t>No</t>
        </is>
      </c>
      <c r="K17" s="27" t="inlineStr">
        <is>
          <t>No</t>
        </is>
      </c>
      <c r="L17" s="27" t="inlineStr">
        <is>
          <t>No</t>
        </is>
      </c>
      <c r="M17" s="27" t="inlineStr">
        <is>
          <t>No</t>
        </is>
      </c>
      <c r="N17" s="27" t="inlineStr">
        <is>
          <t>OpusClip, Munch, Repurpose.io</t>
        </is>
      </c>
      <c r="O17" s="27" t="inlineStr">
        <is>
          <t>2026-10-23</t>
        </is>
      </c>
      <c r="P17" s="27" t="inlineStr">
        <is>
          <t>2026-10-25</t>
        </is>
      </c>
      <c r="Q17" s="27" t="inlineStr">
        <is>
          <t>No</t>
        </is>
      </c>
      <c r="R17" s="27" t="inlineStr">
        <is>
          <t>https://github.com/saran2006psg/incube-seo/blob/main/visibility/raw_answers/raw_answers_day1_2026-10-23.json</t>
        </is>
      </c>
      <c r="S17" s="27" t="inlineStr">
        <is>
          <t>Critical</t>
        </is>
      </c>
      <c r="T17" s="27" t="inlineStr">
        <is>
          <t>Verified reproducible across Day 1 and Day 2</t>
        </is>
      </c>
      <c r="U17" s="28">
        <f>IF(A17="","",IF(COUNTIF($B$5:$B$304,B17)&gt;1,"DUPLICATE","UNIQUE"))</f>
        <v/>
      </c>
      <c r="V17" s="28">
        <f>IF(A17="","",IF(AND(B17&lt;&gt;"",C17&lt;&gt;"",D17&lt;&gt;"",E17&lt;&gt;"",F17&lt;&gt;"",G17&lt;&gt;"",H17&lt;&gt;"",J17&lt;&gt;"",K17&lt;&gt;"",L17&lt;&gt;"",M17&lt;&gt;"",O17&lt;&gt;"",P17&lt;&gt;"",R17&lt;&gt;""),"COMPLETE","MISSING FIELDS"))</f>
        <v/>
      </c>
    </row>
    <row r="18" ht="15" customHeight="1" s="15">
      <c r="A18" s="27" t="inlineStr">
        <is>
          <t>Q014</t>
        </is>
      </c>
      <c r="B18" s="27" t="inlineStr">
        <is>
          <t>What AI tool generates blog posts directly from video audio?</t>
        </is>
      </c>
      <c r="C18" s="27" t="inlineStr">
        <is>
          <t>Commercial Investigation</t>
        </is>
      </c>
      <c r="D18" s="27" t="inlineStr">
        <is>
          <t>Google Search Suggest</t>
        </is>
      </c>
      <c r="E18" s="27" t="inlineStr">
        <is>
          <t>https://suggestqueries.google.com/complete/search</t>
        </is>
      </c>
      <c r="F18" s="27" t="inlineStr">
        <is>
          <t>US</t>
        </is>
      </c>
      <c r="G18" s="27" t="inlineStr">
        <is>
          <t>&gt;100</t>
        </is>
      </c>
      <c r="H18" s="27" t="inlineStr">
        <is>
          <t>Yes</t>
        </is>
      </c>
      <c r="I18" s="27" t="inlineStr">
        <is>
          <t>https://opus.pro</t>
        </is>
      </c>
      <c r="J18" s="27" t="inlineStr">
        <is>
          <t>No</t>
        </is>
      </c>
      <c r="K18" s="27" t="inlineStr">
        <is>
          <t>No</t>
        </is>
      </c>
      <c r="L18" s="27" t="inlineStr">
        <is>
          <t>No</t>
        </is>
      </c>
      <c r="M18" s="27" t="inlineStr">
        <is>
          <t>No</t>
        </is>
      </c>
      <c r="N18" s="27" t="inlineStr">
        <is>
          <t>OpusClip, Munch, Repurpose.io</t>
        </is>
      </c>
      <c r="O18" s="27" t="inlineStr">
        <is>
          <t>2026-10-23</t>
        </is>
      </c>
      <c r="P18" s="27" t="inlineStr">
        <is>
          <t>2026-10-25</t>
        </is>
      </c>
      <c r="Q18" s="27" t="inlineStr">
        <is>
          <t>No</t>
        </is>
      </c>
      <c r="R18" s="27" t="inlineStr">
        <is>
          <t>https://github.com/saran2006psg/incube-seo/blob/main/visibility/raw_answers/raw_answers_day1_2026-10-23.json</t>
        </is>
      </c>
      <c r="S18" s="27" t="inlineStr">
        <is>
          <t>Critical</t>
        </is>
      </c>
      <c r="T18" s="27" t="inlineStr">
        <is>
          <t>Verified reproducible across Day 1 and Day 2</t>
        </is>
      </c>
      <c r="U18" s="28">
        <f>IF(A18="","",IF(COUNTIF($B$5:$B$304,B18)&gt;1,"DUPLICATE","UNIQUE"))</f>
        <v/>
      </c>
      <c r="V18" s="28">
        <f>IF(A18="","",IF(AND(B18&lt;&gt;"",C18&lt;&gt;"",D18&lt;&gt;"",E18&lt;&gt;"",F18&lt;&gt;"",G18&lt;&gt;"",H18&lt;&gt;"",J18&lt;&gt;"",K18&lt;&gt;"",L18&lt;&gt;"",M18&lt;&gt;"",O18&lt;&gt;"",P18&lt;&gt;"",R18&lt;&gt;""),"COMPLETE","MISSING FIELDS"))</f>
        <v/>
      </c>
    </row>
    <row r="19" ht="15" customHeight="1" s="15">
      <c r="A19" s="27" t="inlineStr">
        <is>
          <t>Q015</t>
        </is>
      </c>
      <c r="B19" s="27" t="inlineStr">
        <is>
          <t>How to build an automated content repurposing workflow for solo creators?</t>
        </is>
      </c>
      <c r="C19" s="27" t="inlineStr">
        <is>
          <t>Informational</t>
        </is>
      </c>
      <c r="D19" s="27" t="inlineStr">
        <is>
          <t>Reddit Community Thread</t>
        </is>
      </c>
      <c r="E19" s="27" t="inlineStr">
        <is>
          <t>https://www.reddit.com/r/Solopreneur</t>
        </is>
      </c>
      <c r="F19" s="27" t="inlineStr">
        <is>
          <t>US</t>
        </is>
      </c>
      <c r="G19" s="27" t="inlineStr">
        <is>
          <t>&gt;100</t>
        </is>
      </c>
      <c r="H19" s="27" t="inlineStr">
        <is>
          <t>Yes</t>
        </is>
      </c>
      <c r="I19" s="27" t="inlineStr">
        <is>
          <t>https://opus.pro</t>
        </is>
      </c>
      <c r="J19" s="27" t="inlineStr">
        <is>
          <t>No</t>
        </is>
      </c>
      <c r="K19" s="27" t="inlineStr">
        <is>
          <t>No</t>
        </is>
      </c>
      <c r="L19" s="27" t="inlineStr">
        <is>
          <t>No</t>
        </is>
      </c>
      <c r="M19" s="27" t="inlineStr">
        <is>
          <t>No</t>
        </is>
      </c>
      <c r="N19" s="27" t="inlineStr">
        <is>
          <t>OpusClip, Munch, Repurpose.io</t>
        </is>
      </c>
      <c r="O19" s="27" t="inlineStr">
        <is>
          <t>2026-10-23</t>
        </is>
      </c>
      <c r="P19" s="27" t="inlineStr">
        <is>
          <t>2026-10-25</t>
        </is>
      </c>
      <c r="Q19" s="27" t="inlineStr">
        <is>
          <t>No</t>
        </is>
      </c>
      <c r="R19" s="27" t="inlineStr">
        <is>
          <t>https://github.com/saran2006psg/incube-seo/blob/main/visibility/raw_answers/raw_answers_day1_2026-10-23.json</t>
        </is>
      </c>
      <c r="S19" s="27" t="inlineStr">
        <is>
          <t>Critical</t>
        </is>
      </c>
      <c r="T19" s="27" t="inlineStr">
        <is>
          <t>Verified reproducible across Day 1 and Day 2</t>
        </is>
      </c>
      <c r="U19" s="28">
        <f>IF(A19="","",IF(COUNTIF($B$5:$B$304,B19)&gt;1,"DUPLICATE","UNIQUE"))</f>
        <v/>
      </c>
      <c r="V19" s="28">
        <f>IF(A19="","",IF(AND(B19&lt;&gt;"",C19&lt;&gt;"",D19&lt;&gt;"",E19&lt;&gt;"",F19&lt;&gt;"",G19&lt;&gt;"",H19&lt;&gt;"",J19&lt;&gt;"",K19&lt;&gt;"",L19&lt;&gt;"",M19&lt;&gt;"",O19&lt;&gt;"",P19&lt;&gt;"",R19&lt;&gt;""),"COMPLETE","MISSING FIELDS"))</f>
        <v/>
      </c>
    </row>
    <row r="20" ht="15" customHeight="1" s="15">
      <c r="A20" s="27" t="inlineStr">
        <is>
          <t>Q016</t>
        </is>
      </c>
      <c r="B20" s="27" t="inlineStr">
        <is>
          <t>How to edit video by deleting words in the transcript?</t>
        </is>
      </c>
      <c r="C20" s="27" t="inlineStr">
        <is>
          <t>Informational</t>
        </is>
      </c>
      <c r="D20" s="27" t="inlineStr">
        <is>
          <t>Google Search Suggest</t>
        </is>
      </c>
      <c r="E20" s="27" t="inlineStr">
        <is>
          <t>https://suggestqueries.google.com/complete/search</t>
        </is>
      </c>
      <c r="F20" s="27" t="inlineStr">
        <is>
          <t>US</t>
        </is>
      </c>
      <c r="G20" s="27" t="inlineStr">
        <is>
          <t>&gt;100</t>
        </is>
      </c>
      <c r="H20" s="27" t="inlineStr">
        <is>
          <t>Yes</t>
        </is>
      </c>
      <c r="I20" s="27" t="inlineStr">
        <is>
          <t>https://descript.com</t>
        </is>
      </c>
      <c r="J20" s="27" t="inlineStr">
        <is>
          <t>No</t>
        </is>
      </c>
      <c r="K20" s="27" t="inlineStr">
        <is>
          <t>No</t>
        </is>
      </c>
      <c r="L20" s="27" t="inlineStr">
        <is>
          <t>No</t>
        </is>
      </c>
      <c r="M20" s="27" t="inlineStr">
        <is>
          <t>No</t>
        </is>
      </c>
      <c r="N20" s="27" t="inlineStr">
        <is>
          <t>Descript, CapCut, VEED.io</t>
        </is>
      </c>
      <c r="O20" s="27" t="inlineStr">
        <is>
          <t>2026-10-23</t>
        </is>
      </c>
      <c r="P20" s="27" t="inlineStr">
        <is>
          <t>2026-10-25</t>
        </is>
      </c>
      <c r="Q20" s="27" t="inlineStr">
        <is>
          <t>No</t>
        </is>
      </c>
      <c r="R20" s="27" t="inlineStr">
        <is>
          <t>https://github.com/saran2006psg/incube-seo/blob/main/visibility/raw_answers/raw_answers_day1_2026-10-23.json</t>
        </is>
      </c>
      <c r="S20" s="27" t="inlineStr">
        <is>
          <t>Critical</t>
        </is>
      </c>
      <c r="T20" s="27" t="inlineStr">
        <is>
          <t>Verified reproducible across Day 1 and Day 2</t>
        </is>
      </c>
      <c r="U20" s="28">
        <f>IF(A20="","",IF(COUNTIF($B$5:$B$304,B20)&gt;1,"DUPLICATE","UNIQUE"))</f>
        <v/>
      </c>
      <c r="V20" s="28">
        <f>IF(A20="","",IF(AND(B20&lt;&gt;"",C20&lt;&gt;"",D20&lt;&gt;"",E20&lt;&gt;"",F20&lt;&gt;"",G20&lt;&gt;"",H20&lt;&gt;"",J20&lt;&gt;"",K20&lt;&gt;"",L20&lt;&gt;"",M20&lt;&gt;"",O20&lt;&gt;"",P20&lt;&gt;"",R20&lt;&gt;""),"COMPLETE","MISSING FIELDS"))</f>
        <v/>
      </c>
    </row>
    <row r="21" ht="15" customHeight="1" s="15">
      <c r="A21" s="27" t="inlineStr">
        <is>
          <t>Q017</t>
        </is>
      </c>
      <c r="B21" s="27" t="inlineStr">
        <is>
          <t>Best text-based video editors for creators in 2026</t>
        </is>
      </c>
      <c r="C21" s="27" t="inlineStr">
        <is>
          <t>Commercial Investigation</t>
        </is>
      </c>
      <c r="D21" s="27" t="inlineStr">
        <is>
          <t>Google Search Suggest</t>
        </is>
      </c>
      <c r="E21" s="27" t="inlineStr">
        <is>
          <t>https://suggestqueries.google.com/complete/search</t>
        </is>
      </c>
      <c r="F21" s="27" t="inlineStr">
        <is>
          <t>US</t>
        </is>
      </c>
      <c r="G21" s="27" t="inlineStr">
        <is>
          <t>&gt;100</t>
        </is>
      </c>
      <c r="H21" s="27" t="inlineStr">
        <is>
          <t>Yes</t>
        </is>
      </c>
      <c r="I21" s="27" t="inlineStr">
        <is>
          <t>https://descript.com</t>
        </is>
      </c>
      <c r="J21" s="27" t="inlineStr">
        <is>
          <t>No</t>
        </is>
      </c>
      <c r="K21" s="27" t="inlineStr">
        <is>
          <t>No</t>
        </is>
      </c>
      <c r="L21" s="27" t="inlineStr">
        <is>
          <t>No</t>
        </is>
      </c>
      <c r="M21" s="27" t="inlineStr">
        <is>
          <t>No</t>
        </is>
      </c>
      <c r="N21" s="27" t="inlineStr">
        <is>
          <t>Descript, CapCut, VEED.io</t>
        </is>
      </c>
      <c r="O21" s="27" t="inlineStr">
        <is>
          <t>2026-10-23</t>
        </is>
      </c>
      <c r="P21" s="27" t="inlineStr">
        <is>
          <t>2026-10-25</t>
        </is>
      </c>
      <c r="Q21" s="27" t="inlineStr">
        <is>
          <t>No</t>
        </is>
      </c>
      <c r="R21" s="27" t="inlineStr">
        <is>
          <t>https://github.com/saran2006psg/incube-seo/blob/main/visibility/raw_answers/raw_answers_day1_2026-10-23.json</t>
        </is>
      </c>
      <c r="S21" s="27" t="inlineStr">
        <is>
          <t>Critical</t>
        </is>
      </c>
      <c r="T21" s="27" t="inlineStr">
        <is>
          <t>Verified reproducible across Day 1 and Day 2</t>
        </is>
      </c>
      <c r="U21" s="28">
        <f>IF(A21="","",IF(COUNTIF($B$5:$B$304,B21)&gt;1,"DUPLICATE","UNIQUE"))</f>
        <v/>
      </c>
      <c r="V21" s="28">
        <f>IF(A21="","",IF(AND(B21&lt;&gt;"",C21&lt;&gt;"",D21&lt;&gt;"",E21&lt;&gt;"",F21&lt;&gt;"",G21&lt;&gt;"",H21&lt;&gt;"",J21&lt;&gt;"",K21&lt;&gt;"",L21&lt;&gt;"",M21&lt;&gt;"",O21&lt;&gt;"",P21&lt;&gt;"",R21&lt;&gt;""),"COMPLETE","MISSING FIELDS"))</f>
        <v/>
      </c>
    </row>
    <row r="22" ht="15" customHeight="1" s="15">
      <c r="A22" s="27" t="inlineStr">
        <is>
          <t>Q018</t>
        </is>
      </c>
      <c r="B22" s="27" t="inlineStr">
        <is>
          <t>How does transcript-based video editing work?</t>
        </is>
      </c>
      <c r="C22" s="27" t="inlineStr">
        <is>
          <t>Informational</t>
        </is>
      </c>
      <c r="D22" s="27" t="inlineStr">
        <is>
          <t>Google PAA</t>
        </is>
      </c>
      <c r="E22" s="27" t="inlineStr">
        <is>
          <t>https://www.google.com/search?q=How+does+transcript-based+video+editing+work?</t>
        </is>
      </c>
      <c r="F22" s="27" t="inlineStr">
        <is>
          <t>UK</t>
        </is>
      </c>
      <c r="G22" s="27" t="inlineStr">
        <is>
          <t>&gt;100</t>
        </is>
      </c>
      <c r="H22" s="27" t="inlineStr">
        <is>
          <t>Yes</t>
        </is>
      </c>
      <c r="I22" s="27" t="inlineStr">
        <is>
          <t>https://descript.com</t>
        </is>
      </c>
      <c r="J22" s="27" t="inlineStr">
        <is>
          <t>No</t>
        </is>
      </c>
      <c r="K22" s="27" t="inlineStr">
        <is>
          <t>No</t>
        </is>
      </c>
      <c r="L22" s="27" t="inlineStr">
        <is>
          <t>No</t>
        </is>
      </c>
      <c r="M22" s="27" t="inlineStr">
        <is>
          <t>No</t>
        </is>
      </c>
      <c r="N22" s="27" t="inlineStr">
        <is>
          <t>Descript, CapCut, VEED.io</t>
        </is>
      </c>
      <c r="O22" s="27" t="inlineStr">
        <is>
          <t>2026-10-23</t>
        </is>
      </c>
      <c r="P22" s="27" t="inlineStr">
        <is>
          <t>2026-10-25</t>
        </is>
      </c>
      <c r="Q22" s="27" t="inlineStr">
        <is>
          <t>No</t>
        </is>
      </c>
      <c r="R22" s="27" t="inlineStr">
        <is>
          <t>https://github.com/saran2006psg/incube-seo/blob/main/visibility/raw_answers/raw_answers_day1_2026-10-23.json</t>
        </is>
      </c>
      <c r="S22" s="27" t="inlineStr">
        <is>
          <t>Critical</t>
        </is>
      </c>
      <c r="T22" s="27" t="inlineStr">
        <is>
          <t>Verified reproducible across Day 1 and Day 2</t>
        </is>
      </c>
      <c r="U22" s="28">
        <f>IF(A22="","",IF(COUNTIF($B$5:$B$304,B22)&gt;1,"DUPLICATE","UNIQUE"))</f>
        <v/>
      </c>
      <c r="V22" s="28">
        <f>IF(A22="","",IF(AND(B22&lt;&gt;"",C22&lt;&gt;"",D22&lt;&gt;"",E22&lt;&gt;"",F22&lt;&gt;"",G22&lt;&gt;"",H22&lt;&gt;"",J22&lt;&gt;"",K22&lt;&gt;"",L22&lt;&gt;"",M22&lt;&gt;"",O22&lt;&gt;"",P22&lt;&gt;"",R22&lt;&gt;""),"COMPLETE","MISSING FIELDS"))</f>
        <v/>
      </c>
    </row>
    <row r="23" ht="15" customHeight="1" s="15">
      <c r="A23" s="27" t="inlineStr">
        <is>
          <t>Q019</t>
        </is>
      </c>
      <c r="B23" s="27" t="inlineStr">
        <is>
          <t>Can AI remove filler words like um and uh from video automatically?</t>
        </is>
      </c>
      <c r="C23" s="27" t="inlineStr">
        <is>
          <t>Informational</t>
        </is>
      </c>
      <c r="D23" s="27" t="inlineStr">
        <is>
          <t>Google PAA</t>
        </is>
      </c>
      <c r="E23" s="27" t="inlineStr">
        <is>
          <t>https://www.google.com/search?q=Can+AI+remove+filler+words+like+um+and+uh+from+video+automatically?</t>
        </is>
      </c>
      <c r="F23" s="27" t="inlineStr">
        <is>
          <t>US</t>
        </is>
      </c>
      <c r="G23" s="27" t="inlineStr">
        <is>
          <t>&gt;100</t>
        </is>
      </c>
      <c r="H23" s="27" t="inlineStr">
        <is>
          <t>Yes</t>
        </is>
      </c>
      <c r="I23" s="27" t="inlineStr">
        <is>
          <t>https://descript.com</t>
        </is>
      </c>
      <c r="J23" s="27" t="inlineStr">
        <is>
          <t>No</t>
        </is>
      </c>
      <c r="K23" s="27" t="inlineStr">
        <is>
          <t>No</t>
        </is>
      </c>
      <c r="L23" s="27" t="inlineStr">
        <is>
          <t>No</t>
        </is>
      </c>
      <c r="M23" s="27" t="inlineStr">
        <is>
          <t>No</t>
        </is>
      </c>
      <c r="N23" s="27" t="inlineStr">
        <is>
          <t>Descript, CapCut, VEED.io</t>
        </is>
      </c>
      <c r="O23" s="27" t="inlineStr">
        <is>
          <t>2026-10-23</t>
        </is>
      </c>
      <c r="P23" s="27" t="inlineStr">
        <is>
          <t>2026-10-25</t>
        </is>
      </c>
      <c r="Q23" s="27" t="inlineStr">
        <is>
          <t>No</t>
        </is>
      </c>
      <c r="R23" s="27" t="inlineStr">
        <is>
          <t>https://github.com/saran2006psg/incube-seo/blob/main/visibility/raw_answers/raw_answers_day1_2026-10-23.json</t>
        </is>
      </c>
      <c r="S23" s="27" t="inlineStr">
        <is>
          <t>Critical</t>
        </is>
      </c>
      <c r="T23" s="27" t="inlineStr">
        <is>
          <t>Verified reproducible across Day 1 and Day 2</t>
        </is>
      </c>
      <c r="U23" s="28">
        <f>IF(A23="","",IF(COUNTIF($B$5:$B$304,B23)&gt;1,"DUPLICATE","UNIQUE"))</f>
        <v/>
      </c>
      <c r="V23" s="28">
        <f>IF(A23="","",IF(AND(B23&lt;&gt;"",C23&lt;&gt;"",D23&lt;&gt;"",E23&lt;&gt;"",F23&lt;&gt;"",G23&lt;&gt;"",H23&lt;&gt;"",J23&lt;&gt;"",K23&lt;&gt;"",L23&lt;&gt;"",M23&lt;&gt;"",O23&lt;&gt;"",P23&lt;&gt;"",R23&lt;&gt;""),"COMPLETE","MISSING FIELDS"))</f>
        <v/>
      </c>
    </row>
    <row r="24" ht="15" customHeight="1" s="15">
      <c r="A24" s="27" t="inlineStr">
        <is>
          <t>Q020</t>
        </is>
      </c>
      <c r="B24" s="27" t="inlineStr">
        <is>
          <t>How to edit a video podcast without Premiere Pro or Final Cut?</t>
        </is>
      </c>
      <c r="C24" s="27" t="inlineStr">
        <is>
          <t>Informational</t>
        </is>
      </c>
      <c r="D24" s="27" t="inlineStr">
        <is>
          <t>Reddit Community Thread</t>
        </is>
      </c>
      <c r="E24" s="27" t="inlineStr">
        <is>
          <t>https://www.reddit.com/r/podcasting</t>
        </is>
      </c>
      <c r="F24" s="27" t="inlineStr">
        <is>
          <t>US</t>
        </is>
      </c>
      <c r="G24" s="27" t="inlineStr">
        <is>
          <t>&gt;100</t>
        </is>
      </c>
      <c r="H24" s="27" t="inlineStr">
        <is>
          <t>Yes</t>
        </is>
      </c>
      <c r="I24" s="27" t="inlineStr">
        <is>
          <t>https://descript.com</t>
        </is>
      </c>
      <c r="J24" s="27" t="inlineStr">
        <is>
          <t>No</t>
        </is>
      </c>
      <c r="K24" s="27" t="inlineStr">
        <is>
          <t>No</t>
        </is>
      </c>
      <c r="L24" s="27" t="inlineStr">
        <is>
          <t>No</t>
        </is>
      </c>
      <c r="M24" s="27" t="inlineStr">
        <is>
          <t>No</t>
        </is>
      </c>
      <c r="N24" s="27" t="inlineStr">
        <is>
          <t>Descript, CapCut, VEED.io</t>
        </is>
      </c>
      <c r="O24" s="27" t="inlineStr">
        <is>
          <t>2026-10-23</t>
        </is>
      </c>
      <c r="P24" s="27" t="inlineStr">
        <is>
          <t>2026-10-25</t>
        </is>
      </c>
      <c r="Q24" s="27" t="inlineStr">
        <is>
          <t>No</t>
        </is>
      </c>
      <c r="R24" s="27" t="inlineStr">
        <is>
          <t>https://github.com/saran2006psg/incube-seo/blob/main/visibility/raw_answers/raw_answers_day1_2026-10-23.json</t>
        </is>
      </c>
      <c r="S24" s="27" t="inlineStr">
        <is>
          <t>Critical</t>
        </is>
      </c>
      <c r="T24" s="27" t="inlineStr">
        <is>
          <t>Verified reproducible across Day 1 and Day 2</t>
        </is>
      </c>
      <c r="U24" s="28">
        <f>IF(A24="","",IF(COUNTIF($B$5:$B$304,B24)&gt;1,"DUPLICATE","UNIQUE"))</f>
        <v/>
      </c>
      <c r="V24" s="28">
        <f>IF(A24="","",IF(AND(B24&lt;&gt;"",C24&lt;&gt;"",D24&lt;&gt;"",E24&lt;&gt;"",F24&lt;&gt;"",G24&lt;&gt;"",H24&lt;&gt;"",J24&lt;&gt;"",K24&lt;&gt;"",L24&lt;&gt;"",M24&lt;&gt;"",O24&lt;&gt;"",P24&lt;&gt;"",R24&lt;&gt;""),"COMPLETE","MISSING FIELDS"))</f>
        <v/>
      </c>
    </row>
    <row r="25" ht="15" customHeight="1" s="15">
      <c r="A25" s="27" t="inlineStr">
        <is>
          <t>Q021</t>
        </is>
      </c>
      <c r="B25" s="27" t="inlineStr">
        <is>
          <t>Best AI video editing tools for beginners with no video skills</t>
        </is>
      </c>
      <c r="C25" s="27" t="inlineStr">
        <is>
          <t>Commercial Investigation</t>
        </is>
      </c>
      <c r="D25" s="27" t="inlineStr">
        <is>
          <t>Google Search Suggest</t>
        </is>
      </c>
      <c r="E25" s="27" t="inlineStr">
        <is>
          <t>https://suggestqueries.google.com/complete/search</t>
        </is>
      </c>
      <c r="F25" s="27" t="inlineStr">
        <is>
          <t>IN</t>
        </is>
      </c>
      <c r="G25" s="27" t="inlineStr">
        <is>
          <t>&gt;100</t>
        </is>
      </c>
      <c r="H25" s="27" t="inlineStr">
        <is>
          <t>Yes</t>
        </is>
      </c>
      <c r="I25" s="27" t="inlineStr">
        <is>
          <t>https://descript.com</t>
        </is>
      </c>
      <c r="J25" s="27" t="inlineStr">
        <is>
          <t>No</t>
        </is>
      </c>
      <c r="K25" s="27" t="inlineStr">
        <is>
          <t>No</t>
        </is>
      </c>
      <c r="L25" s="27" t="inlineStr">
        <is>
          <t>No</t>
        </is>
      </c>
      <c r="M25" s="27" t="inlineStr">
        <is>
          <t>No</t>
        </is>
      </c>
      <c r="N25" s="27" t="inlineStr">
        <is>
          <t>Descript, CapCut, VEED.io</t>
        </is>
      </c>
      <c r="O25" s="27" t="inlineStr">
        <is>
          <t>2026-10-23</t>
        </is>
      </c>
      <c r="P25" s="27" t="inlineStr">
        <is>
          <t>2026-10-25</t>
        </is>
      </c>
      <c r="Q25" s="27" t="inlineStr">
        <is>
          <t>No</t>
        </is>
      </c>
      <c r="R25" s="27" t="inlineStr">
        <is>
          <t>https://github.com/saran2006psg/incube-seo/blob/main/visibility/raw_answers/raw_answers_day1_2026-10-23.json</t>
        </is>
      </c>
      <c r="S25" s="27" t="inlineStr">
        <is>
          <t>Critical</t>
        </is>
      </c>
      <c r="T25" s="27" t="inlineStr">
        <is>
          <t>Verified reproducible across Day 1 and Day 2</t>
        </is>
      </c>
      <c r="U25" s="28">
        <f>IF(A25="","",IF(COUNTIF($B$5:$B$304,B25)&gt;1,"DUPLICATE","UNIQUE"))</f>
        <v/>
      </c>
      <c r="V25" s="28">
        <f>IF(A25="","",IF(AND(B25&lt;&gt;"",C25&lt;&gt;"",D25&lt;&gt;"",E25&lt;&gt;"",F25&lt;&gt;"",G25&lt;&gt;"",H25&lt;&gt;"",J25&lt;&gt;"",K25&lt;&gt;"",L25&lt;&gt;"",M25&lt;&gt;"",O25&lt;&gt;"",P25&lt;&gt;"",R25&lt;&gt;""),"COMPLETE","MISSING FIELDS"))</f>
        <v/>
      </c>
    </row>
    <row r="26" ht="15" customHeight="1" s="15">
      <c r="A26" s="27" t="inlineStr">
        <is>
          <t>Q022</t>
        </is>
      </c>
      <c r="B26" s="27" t="inlineStr">
        <is>
          <t>How to cut out silence and dead air from videos automatically</t>
        </is>
      </c>
      <c r="C26" s="27" t="inlineStr">
        <is>
          <t>Informational</t>
        </is>
      </c>
      <c r="D26" s="27" t="inlineStr">
        <is>
          <t>Google Search Suggest</t>
        </is>
      </c>
      <c r="E26" s="27" t="inlineStr">
        <is>
          <t>https://suggestqueries.google.com/complete/search</t>
        </is>
      </c>
      <c r="F26" s="27" t="inlineStr">
        <is>
          <t>UK</t>
        </is>
      </c>
      <c r="G26" s="27" t="inlineStr">
        <is>
          <t>&gt;100</t>
        </is>
      </c>
      <c r="H26" s="27" t="inlineStr">
        <is>
          <t>Yes</t>
        </is>
      </c>
      <c r="I26" s="27" t="inlineStr">
        <is>
          <t>https://descript.com</t>
        </is>
      </c>
      <c r="J26" s="27" t="inlineStr">
        <is>
          <t>No</t>
        </is>
      </c>
      <c r="K26" s="27" t="inlineStr">
        <is>
          <t>No</t>
        </is>
      </c>
      <c r="L26" s="27" t="inlineStr">
        <is>
          <t>No</t>
        </is>
      </c>
      <c r="M26" s="27" t="inlineStr">
        <is>
          <t>No</t>
        </is>
      </c>
      <c r="N26" s="27" t="inlineStr">
        <is>
          <t>Descript, CapCut, VEED.io</t>
        </is>
      </c>
      <c r="O26" s="27" t="inlineStr">
        <is>
          <t>2026-10-23</t>
        </is>
      </c>
      <c r="P26" s="27" t="inlineStr">
        <is>
          <t>2026-10-25</t>
        </is>
      </c>
      <c r="Q26" s="27" t="inlineStr">
        <is>
          <t>No</t>
        </is>
      </c>
      <c r="R26" s="27" t="inlineStr">
        <is>
          <t>https://github.com/saran2006psg/incube-seo/blob/main/visibility/raw_answers/raw_answers_day1_2026-10-23.json</t>
        </is>
      </c>
      <c r="S26" s="27" t="inlineStr">
        <is>
          <t>Critical</t>
        </is>
      </c>
      <c r="T26" s="27" t="inlineStr">
        <is>
          <t>Verified reproducible across Day 1 and Day 2</t>
        </is>
      </c>
      <c r="U26" s="28">
        <f>IF(A26="","",IF(COUNTIF($B$5:$B$304,B26)&gt;1,"DUPLICATE","UNIQUE"))</f>
        <v/>
      </c>
      <c r="V26" s="28">
        <f>IF(A26="","",IF(AND(B26&lt;&gt;"",C26&lt;&gt;"",D26&lt;&gt;"",E26&lt;&gt;"",F26&lt;&gt;"",G26&lt;&gt;"",H26&lt;&gt;"",J26&lt;&gt;"",K26&lt;&gt;"",L26&lt;&gt;"",M26&lt;&gt;"",O26&lt;&gt;"",P26&lt;&gt;"",R26&lt;&gt;""),"COMPLETE","MISSING FIELDS"))</f>
        <v/>
      </c>
    </row>
    <row r="27" ht="15" customHeight="1" s="15">
      <c r="A27" s="27" t="inlineStr">
        <is>
          <t>Q023</t>
        </is>
      </c>
      <c r="B27" s="27" t="inlineStr">
        <is>
          <t>Can AI highlight key talking points from an interview video?</t>
        </is>
      </c>
      <c r="C27" s="27" t="inlineStr">
        <is>
          <t>Informational</t>
        </is>
      </c>
      <c r="D27" s="27" t="inlineStr">
        <is>
          <t>Google PAA</t>
        </is>
      </c>
      <c r="E27" s="27" t="inlineStr">
        <is>
          <t>https://www.google.com/search?q=Can+AI+highlight+key+talking+points+from+an+interview+video?</t>
        </is>
      </c>
      <c r="F27" s="27" t="inlineStr">
        <is>
          <t>US</t>
        </is>
      </c>
      <c r="G27" s="27" t="inlineStr">
        <is>
          <t>&gt;100</t>
        </is>
      </c>
      <c r="H27" s="27" t="inlineStr">
        <is>
          <t>Yes</t>
        </is>
      </c>
      <c r="I27" s="27" t="inlineStr">
        <is>
          <t>https://descript.com</t>
        </is>
      </c>
      <c r="J27" s="27" t="inlineStr">
        <is>
          <t>No</t>
        </is>
      </c>
      <c r="K27" s="27" t="inlineStr">
        <is>
          <t>No</t>
        </is>
      </c>
      <c r="L27" s="27" t="inlineStr">
        <is>
          <t>No</t>
        </is>
      </c>
      <c r="M27" s="27" t="inlineStr">
        <is>
          <t>No</t>
        </is>
      </c>
      <c r="N27" s="27" t="inlineStr">
        <is>
          <t>Descript, CapCut, VEED.io</t>
        </is>
      </c>
      <c r="O27" s="27" t="inlineStr">
        <is>
          <t>2026-10-23</t>
        </is>
      </c>
      <c r="P27" s="27" t="inlineStr">
        <is>
          <t>2026-10-25</t>
        </is>
      </c>
      <c r="Q27" s="27" t="inlineStr">
        <is>
          <t>No</t>
        </is>
      </c>
      <c r="R27" s="27" t="inlineStr">
        <is>
          <t>https://github.com/saran2006psg/incube-seo/blob/main/visibility/raw_answers/raw_answers_day1_2026-10-23.json</t>
        </is>
      </c>
      <c r="S27" s="27" t="inlineStr">
        <is>
          <t>Critical</t>
        </is>
      </c>
      <c r="T27" s="27" t="inlineStr">
        <is>
          <t>Verified reproducible across Day 1 and Day 2</t>
        </is>
      </c>
      <c r="U27" s="28">
        <f>IF(A27="","",IF(COUNTIF($B$5:$B$304,B27)&gt;1,"DUPLICATE","UNIQUE"))</f>
        <v/>
      </c>
      <c r="V27" s="28">
        <f>IF(A27="","",IF(AND(B27&lt;&gt;"",C27&lt;&gt;"",D27&lt;&gt;"",E27&lt;&gt;"",F27&lt;&gt;"",G27&lt;&gt;"",H27&lt;&gt;"",J27&lt;&gt;"",K27&lt;&gt;"",L27&lt;&gt;"",M27&lt;&gt;"",O27&lt;&gt;"",P27&lt;&gt;"",R27&lt;&gt;""),"COMPLETE","MISSING FIELDS"))</f>
        <v/>
      </c>
    </row>
    <row r="28" ht="15" customHeight="1" s="15">
      <c r="A28" s="27" t="inlineStr">
        <is>
          <t>Q024</t>
        </is>
      </c>
      <c r="B28" s="27" t="inlineStr">
        <is>
          <t>How to trim video footage using voice search or transcript search?</t>
        </is>
      </c>
      <c r="C28" s="27" t="inlineStr">
        <is>
          <t>Informational</t>
        </is>
      </c>
      <c r="D28" s="27" t="inlineStr">
        <is>
          <t>Reddit Community Thread</t>
        </is>
      </c>
      <c r="E28" s="27" t="inlineStr">
        <is>
          <t>https://www.reddit.com/r/videography</t>
        </is>
      </c>
      <c r="F28" s="27" t="inlineStr">
        <is>
          <t>US</t>
        </is>
      </c>
      <c r="G28" s="27" t="inlineStr">
        <is>
          <t>&gt;100</t>
        </is>
      </c>
      <c r="H28" s="27" t="inlineStr">
        <is>
          <t>Yes</t>
        </is>
      </c>
      <c r="I28" s="27" t="inlineStr">
        <is>
          <t>https://descript.com</t>
        </is>
      </c>
      <c r="J28" s="27" t="inlineStr">
        <is>
          <t>No</t>
        </is>
      </c>
      <c r="K28" s="27" t="inlineStr">
        <is>
          <t>No</t>
        </is>
      </c>
      <c r="L28" s="27" t="inlineStr">
        <is>
          <t>No</t>
        </is>
      </c>
      <c r="M28" s="27" t="inlineStr">
        <is>
          <t>No</t>
        </is>
      </c>
      <c r="N28" s="27" t="inlineStr">
        <is>
          <t>Descript, CapCut, VEED.io</t>
        </is>
      </c>
      <c r="O28" s="27" t="inlineStr">
        <is>
          <t>2026-10-23</t>
        </is>
      </c>
      <c r="P28" s="27" t="inlineStr">
        <is>
          <t>2026-10-25</t>
        </is>
      </c>
      <c r="Q28" s="27" t="inlineStr">
        <is>
          <t>No</t>
        </is>
      </c>
      <c r="R28" s="27" t="inlineStr">
        <is>
          <t>https://github.com/saran2006psg/incube-seo/blob/main/visibility/raw_answers/raw_answers_day1_2026-10-23.json</t>
        </is>
      </c>
      <c r="S28" s="27" t="inlineStr">
        <is>
          <t>Critical</t>
        </is>
      </c>
      <c r="T28" s="27" t="inlineStr">
        <is>
          <t>Verified reproducible across Day 1 and Day 2</t>
        </is>
      </c>
      <c r="U28" s="28">
        <f>IF(A28="","",IF(COUNTIF($B$5:$B$304,B28)&gt;1,"DUPLICATE","UNIQUE"))</f>
        <v/>
      </c>
      <c r="V28" s="28">
        <f>IF(A28="","",IF(AND(B28&lt;&gt;"",C28&lt;&gt;"",D28&lt;&gt;"",E28&lt;&gt;"",F28&lt;&gt;"",G28&lt;&gt;"",H28&lt;&gt;"",J28&lt;&gt;"",K28&lt;&gt;"",L28&lt;&gt;"",M28&lt;&gt;"",O28&lt;&gt;"",P28&lt;&gt;"",R28&lt;&gt;""),"COMPLETE","MISSING FIELDS"))</f>
        <v/>
      </c>
    </row>
    <row r="29" ht="15" customHeight="1" s="15">
      <c r="A29" s="27" t="inlineStr">
        <is>
          <t>Q025</t>
        </is>
      </c>
      <c r="B29" s="27" t="inlineStr">
        <is>
          <t>Best AI tool for jump cut editing in YouTube videos</t>
        </is>
      </c>
      <c r="C29" s="27" t="inlineStr">
        <is>
          <t>Commercial Investigation</t>
        </is>
      </c>
      <c r="D29" s="27" t="inlineStr">
        <is>
          <t>Google Search Suggest</t>
        </is>
      </c>
      <c r="E29" s="27" t="inlineStr">
        <is>
          <t>https://suggestqueries.google.com/complete/search</t>
        </is>
      </c>
      <c r="F29" s="27" t="inlineStr">
        <is>
          <t>IN</t>
        </is>
      </c>
      <c r="G29" s="27" t="inlineStr">
        <is>
          <t>&gt;100</t>
        </is>
      </c>
      <c r="H29" s="27" t="inlineStr">
        <is>
          <t>Yes</t>
        </is>
      </c>
      <c r="I29" s="27" t="inlineStr">
        <is>
          <t>https://descript.com</t>
        </is>
      </c>
      <c r="J29" s="27" t="inlineStr">
        <is>
          <t>No</t>
        </is>
      </c>
      <c r="K29" s="27" t="inlineStr">
        <is>
          <t>No</t>
        </is>
      </c>
      <c r="L29" s="27" t="inlineStr">
        <is>
          <t>No</t>
        </is>
      </c>
      <c r="M29" s="27" t="inlineStr">
        <is>
          <t>No</t>
        </is>
      </c>
      <c r="N29" s="27" t="inlineStr">
        <is>
          <t>Descript, CapCut, VEED.io</t>
        </is>
      </c>
      <c r="O29" s="27" t="inlineStr">
        <is>
          <t>2026-10-23</t>
        </is>
      </c>
      <c r="P29" s="27" t="inlineStr">
        <is>
          <t>2026-10-25</t>
        </is>
      </c>
      <c r="Q29" s="27" t="inlineStr">
        <is>
          <t>No</t>
        </is>
      </c>
      <c r="R29" s="27" t="inlineStr">
        <is>
          <t>https://github.com/saran2006psg/incube-seo/blob/main/visibility/raw_answers/raw_answers_day1_2026-10-23.json</t>
        </is>
      </c>
      <c r="S29" s="27" t="inlineStr">
        <is>
          <t>Critical</t>
        </is>
      </c>
      <c r="T29" s="27" t="inlineStr">
        <is>
          <t>Verified reproducible across Day 1 and Day 2</t>
        </is>
      </c>
      <c r="U29" s="28">
        <f>IF(A29="","",IF(COUNTIF($B$5:$B$304,B29)&gt;1,"DUPLICATE","UNIQUE"))</f>
        <v/>
      </c>
      <c r="V29" s="28">
        <f>IF(A29="","",IF(AND(B29&lt;&gt;"",C29&lt;&gt;"",D29&lt;&gt;"",E29&lt;&gt;"",F29&lt;&gt;"",G29&lt;&gt;"",H29&lt;&gt;"",J29&lt;&gt;"",K29&lt;&gt;"",L29&lt;&gt;"",M29&lt;&gt;"",O29&lt;&gt;"",P29&lt;&gt;"",R29&lt;&gt;""),"COMPLETE","MISSING FIELDS"))</f>
        <v/>
      </c>
    </row>
    <row r="30" ht="15" customHeight="1" s="15">
      <c r="A30" s="27" t="inlineStr">
        <is>
          <t>Q026</t>
        </is>
      </c>
      <c r="B30" s="27" t="inlineStr">
        <is>
          <t>How to edit talking head videos 10x faster using AI?</t>
        </is>
      </c>
      <c r="C30" s="27" t="inlineStr">
        <is>
          <t>Informational</t>
        </is>
      </c>
      <c r="D30" s="27" t="inlineStr">
        <is>
          <t>Quora Creator Q&amp;A</t>
        </is>
      </c>
      <c r="E30" s="27" t="inlineStr">
        <is>
          <t>https://www.quora.com</t>
        </is>
      </c>
      <c r="F30" s="27" t="inlineStr">
        <is>
          <t>US</t>
        </is>
      </c>
      <c r="G30" s="27" t="inlineStr">
        <is>
          <t>&gt;100</t>
        </is>
      </c>
      <c r="H30" s="27" t="inlineStr">
        <is>
          <t>Yes</t>
        </is>
      </c>
      <c r="I30" s="27" t="inlineStr">
        <is>
          <t>https://descript.com</t>
        </is>
      </c>
      <c r="J30" s="27" t="inlineStr">
        <is>
          <t>No</t>
        </is>
      </c>
      <c r="K30" s="27" t="inlineStr">
        <is>
          <t>No</t>
        </is>
      </c>
      <c r="L30" s="27" t="inlineStr">
        <is>
          <t>No</t>
        </is>
      </c>
      <c r="M30" s="27" t="inlineStr">
        <is>
          <t>No</t>
        </is>
      </c>
      <c r="N30" s="27" t="inlineStr">
        <is>
          <t>Descript, CapCut, VEED.io</t>
        </is>
      </c>
      <c r="O30" s="27" t="inlineStr">
        <is>
          <t>2026-10-23</t>
        </is>
      </c>
      <c r="P30" s="27" t="inlineStr">
        <is>
          <t>2026-10-25</t>
        </is>
      </c>
      <c r="Q30" s="27" t="inlineStr">
        <is>
          <t>No</t>
        </is>
      </c>
      <c r="R30" s="27" t="inlineStr">
        <is>
          <t>https://github.com/saran2006psg/incube-seo/blob/main/visibility/raw_answers/raw_answers_day1_2026-10-23.json</t>
        </is>
      </c>
      <c r="S30" s="27" t="inlineStr">
        <is>
          <t>Critical</t>
        </is>
      </c>
      <c r="T30" s="27" t="inlineStr">
        <is>
          <t>Verified reproducible across Day 1 and Day 2</t>
        </is>
      </c>
      <c r="U30" s="28">
        <f>IF(A30="","",IF(COUNTIF($B$5:$B$304,B30)&gt;1,"DUPLICATE","UNIQUE"))</f>
        <v/>
      </c>
      <c r="V30" s="28">
        <f>IF(A30="","",IF(AND(B30&lt;&gt;"",C30&lt;&gt;"",D30&lt;&gt;"",E30&lt;&gt;"",F30&lt;&gt;"",G30&lt;&gt;"",H30&lt;&gt;"",J30&lt;&gt;"",K30&lt;&gt;"",L30&lt;&gt;"",M30&lt;&gt;"",O30&lt;&gt;"",P30&lt;&gt;"",R30&lt;&gt;""),"COMPLETE","MISSING FIELDS"))</f>
        <v/>
      </c>
    </row>
    <row r="31" ht="15" customHeight="1" s="15">
      <c r="A31" s="27" t="inlineStr">
        <is>
          <t>Q027</t>
        </is>
      </c>
      <c r="B31" s="27" t="inlineStr">
        <is>
          <t>What tools automatically detect speaker changes in multi-person video podcasts?</t>
        </is>
      </c>
      <c r="C31" s="27" t="inlineStr">
        <is>
          <t>Commercial Investigation</t>
        </is>
      </c>
      <c r="D31" s="27" t="inlineStr">
        <is>
          <t>Google PAA</t>
        </is>
      </c>
      <c r="E31" s="27" t="inlineStr">
        <is>
          <t>https://www.google.com/search?q=What+tools+automatically+detect+speaker+changes+in+multi-person+video+podcasts?</t>
        </is>
      </c>
      <c r="F31" s="27" t="inlineStr">
        <is>
          <t>UK</t>
        </is>
      </c>
      <c r="G31" s="27" t="inlineStr">
        <is>
          <t>&gt;100</t>
        </is>
      </c>
      <c r="H31" s="27" t="inlineStr">
        <is>
          <t>Yes</t>
        </is>
      </c>
      <c r="I31" s="27" t="inlineStr">
        <is>
          <t>https://descript.com</t>
        </is>
      </c>
      <c r="J31" s="27" t="inlineStr">
        <is>
          <t>No</t>
        </is>
      </c>
      <c r="K31" s="27" t="inlineStr">
        <is>
          <t>No</t>
        </is>
      </c>
      <c r="L31" s="27" t="inlineStr">
        <is>
          <t>No</t>
        </is>
      </c>
      <c r="M31" s="27" t="inlineStr">
        <is>
          <t>No</t>
        </is>
      </c>
      <c r="N31" s="27" t="inlineStr">
        <is>
          <t>Descript, CapCut, VEED.io</t>
        </is>
      </c>
      <c r="O31" s="27" t="inlineStr">
        <is>
          <t>2026-10-23</t>
        </is>
      </c>
      <c r="P31" s="27" t="inlineStr">
        <is>
          <t>2026-10-25</t>
        </is>
      </c>
      <c r="Q31" s="27" t="inlineStr">
        <is>
          <t>No</t>
        </is>
      </c>
      <c r="R31" s="27" t="inlineStr">
        <is>
          <t>https://github.com/saran2006psg/incube-seo/blob/main/visibility/raw_answers/raw_answers_day1_2026-10-23.json</t>
        </is>
      </c>
      <c r="S31" s="27" t="inlineStr">
        <is>
          <t>Critical</t>
        </is>
      </c>
      <c r="T31" s="27" t="inlineStr">
        <is>
          <t>Verified reproducible across Day 1 and Day 2</t>
        </is>
      </c>
      <c r="U31" s="28">
        <f>IF(A31="","",IF(COUNTIF($B$5:$B$304,B31)&gt;1,"DUPLICATE","UNIQUE"))</f>
        <v/>
      </c>
      <c r="V31" s="28">
        <f>IF(A31="","",IF(AND(B31&lt;&gt;"",C31&lt;&gt;"",D31&lt;&gt;"",E31&lt;&gt;"",F31&lt;&gt;"",G31&lt;&gt;"",H31&lt;&gt;"",J31&lt;&gt;"",K31&lt;&gt;"",L31&lt;&gt;"",M31&lt;&gt;"",O31&lt;&gt;"",P31&lt;&gt;"",R31&lt;&gt;""),"COMPLETE","MISSING FIELDS"))</f>
        <v/>
      </c>
    </row>
    <row r="32" ht="15" customHeight="1" s="15">
      <c r="A32" s="27" t="inlineStr">
        <is>
          <t>Q028</t>
        </is>
      </c>
      <c r="B32" s="27" t="inlineStr">
        <is>
          <t>How to auto-refocus camera angle on active speaker in horizontal video</t>
        </is>
      </c>
      <c r="C32" s="27" t="inlineStr">
        <is>
          <t>Informational</t>
        </is>
      </c>
      <c r="D32" s="27" t="inlineStr">
        <is>
          <t>Reddit Community Thread</t>
        </is>
      </c>
      <c r="E32" s="27" t="inlineStr">
        <is>
          <t>https://www.reddit.com/r/VideoEditing</t>
        </is>
      </c>
      <c r="F32" s="27" t="inlineStr">
        <is>
          <t>US</t>
        </is>
      </c>
      <c r="G32" s="27" t="inlineStr">
        <is>
          <t>&gt;100</t>
        </is>
      </c>
      <c r="H32" s="27" t="inlineStr">
        <is>
          <t>Yes</t>
        </is>
      </c>
      <c r="I32" s="27" t="inlineStr">
        <is>
          <t>https://descript.com</t>
        </is>
      </c>
      <c r="J32" s="27" t="inlineStr">
        <is>
          <t>No</t>
        </is>
      </c>
      <c r="K32" s="27" t="inlineStr">
        <is>
          <t>No</t>
        </is>
      </c>
      <c r="L32" s="27" t="inlineStr">
        <is>
          <t>No</t>
        </is>
      </c>
      <c r="M32" s="27" t="inlineStr">
        <is>
          <t>No</t>
        </is>
      </c>
      <c r="N32" s="27" t="inlineStr">
        <is>
          <t>Descript, CapCut, VEED.io</t>
        </is>
      </c>
      <c r="O32" s="27" t="inlineStr">
        <is>
          <t>2026-10-23</t>
        </is>
      </c>
      <c r="P32" s="27" t="inlineStr">
        <is>
          <t>2026-10-25</t>
        </is>
      </c>
      <c r="Q32" s="27" t="inlineStr">
        <is>
          <t>No</t>
        </is>
      </c>
      <c r="R32" s="27" t="inlineStr">
        <is>
          <t>https://github.com/saran2006psg/incube-seo/blob/main/visibility/raw_answers/raw_answers_day1_2026-10-23.json</t>
        </is>
      </c>
      <c r="S32" s="27" t="inlineStr">
        <is>
          <t>Critical</t>
        </is>
      </c>
      <c r="T32" s="27" t="inlineStr">
        <is>
          <t>Verified reproducible across Day 1 and Day 2</t>
        </is>
      </c>
      <c r="U32" s="28">
        <f>IF(A32="","",IF(COUNTIF($B$5:$B$304,B32)&gt;1,"DUPLICATE","UNIQUE"))</f>
        <v/>
      </c>
      <c r="V32" s="28">
        <f>IF(A32="","",IF(AND(B32&lt;&gt;"",C32&lt;&gt;"",D32&lt;&gt;"",E32&lt;&gt;"",F32&lt;&gt;"",G32&lt;&gt;"",H32&lt;&gt;"",J32&lt;&gt;"",K32&lt;&gt;"",L32&lt;&gt;"",M32&lt;&gt;"",O32&lt;&gt;"",P32&lt;&gt;"",R32&lt;&gt;""),"COMPLETE","MISSING FIELDS"))</f>
        <v/>
      </c>
    </row>
    <row r="33" ht="15" customHeight="1" s="15">
      <c r="A33" s="27" t="inlineStr">
        <is>
          <t>Q029</t>
        </is>
      </c>
      <c r="B33" s="27" t="inlineStr">
        <is>
          <t>Is there an AI tool that cleans up audio noise and normalizes voice levels?</t>
        </is>
      </c>
      <c r="C33" s="27" t="inlineStr">
        <is>
          <t>Informational</t>
        </is>
      </c>
      <c r="D33" s="27" t="inlineStr">
        <is>
          <t>Google PAA</t>
        </is>
      </c>
      <c r="E33" s="27" t="inlineStr">
        <is>
          <t>https://www.google.com/search?q=Is+there+an+AI+tool+that+cleans+up+audio+noise+and+normalizes+voice+levels?</t>
        </is>
      </c>
      <c r="F33" s="27" t="inlineStr">
        <is>
          <t>IN</t>
        </is>
      </c>
      <c r="G33" s="27" t="inlineStr">
        <is>
          <t>&gt;100</t>
        </is>
      </c>
      <c r="H33" s="27" t="inlineStr">
        <is>
          <t>Yes</t>
        </is>
      </c>
      <c r="I33" s="27" t="inlineStr">
        <is>
          <t>https://descript.com</t>
        </is>
      </c>
      <c r="J33" s="27" t="inlineStr">
        <is>
          <t>No</t>
        </is>
      </c>
      <c r="K33" s="27" t="inlineStr">
        <is>
          <t>No</t>
        </is>
      </c>
      <c r="L33" s="27" t="inlineStr">
        <is>
          <t>No</t>
        </is>
      </c>
      <c r="M33" s="27" t="inlineStr">
        <is>
          <t>No</t>
        </is>
      </c>
      <c r="N33" s="27" t="inlineStr">
        <is>
          <t>Descript, CapCut, VEED.io</t>
        </is>
      </c>
      <c r="O33" s="27" t="inlineStr">
        <is>
          <t>2026-10-23</t>
        </is>
      </c>
      <c r="P33" s="27" t="inlineStr">
        <is>
          <t>2026-10-25</t>
        </is>
      </c>
      <c r="Q33" s="27" t="inlineStr">
        <is>
          <t>No</t>
        </is>
      </c>
      <c r="R33" s="27" t="inlineStr">
        <is>
          <t>https://github.com/saran2006psg/incube-seo/blob/main/visibility/raw_answers/raw_answers_day1_2026-10-23.json</t>
        </is>
      </c>
      <c r="S33" s="27" t="inlineStr">
        <is>
          <t>Critical</t>
        </is>
      </c>
      <c r="T33" s="27" t="inlineStr">
        <is>
          <t>Verified reproducible across Day 1 and Day 2</t>
        </is>
      </c>
      <c r="U33" s="28">
        <f>IF(A33="","",IF(COUNTIF($B$5:$B$304,B33)&gt;1,"DUPLICATE","UNIQUE"))</f>
        <v/>
      </c>
      <c r="V33" s="28">
        <f>IF(A33="","",IF(AND(B33&lt;&gt;"",C33&lt;&gt;"",D33&lt;&gt;"",E33&lt;&gt;"",F33&lt;&gt;"",G33&lt;&gt;"",H33&lt;&gt;"",J33&lt;&gt;"",K33&lt;&gt;"",L33&lt;&gt;"",M33&lt;&gt;"",O33&lt;&gt;"",P33&lt;&gt;"",R33&lt;&gt;""),"COMPLETE","MISSING FIELDS"))</f>
        <v/>
      </c>
    </row>
    <row r="34" ht="15" customHeight="1" s="15">
      <c r="A34" s="27" t="inlineStr">
        <is>
          <t>Q030</t>
        </is>
      </c>
      <c r="B34" s="27" t="inlineStr">
        <is>
          <t>How to add MrBeast style animated captions to short videos?</t>
        </is>
      </c>
      <c r="C34" s="27" t="inlineStr">
        <is>
          <t>Informational</t>
        </is>
      </c>
      <c r="D34" s="27" t="inlineStr">
        <is>
          <t>Google Search Suggest</t>
        </is>
      </c>
      <c r="E34" s="27" t="inlineStr">
        <is>
          <t>https://suggestqueries.google.com/complete/search</t>
        </is>
      </c>
      <c r="F34" s="27" t="inlineStr">
        <is>
          <t>US</t>
        </is>
      </c>
      <c r="G34" s="27" t="inlineStr">
        <is>
          <t>&gt;100</t>
        </is>
      </c>
      <c r="H34" s="27" t="inlineStr">
        <is>
          <t>Yes</t>
        </is>
      </c>
      <c r="I34" s="27" t="inlineStr">
        <is>
          <t>https://capcut.com</t>
        </is>
      </c>
      <c r="J34" s="27" t="inlineStr">
        <is>
          <t>No</t>
        </is>
      </c>
      <c r="K34" s="27" t="inlineStr">
        <is>
          <t>No</t>
        </is>
      </c>
      <c r="L34" s="27" t="inlineStr">
        <is>
          <t>No</t>
        </is>
      </c>
      <c r="M34" s="27" t="inlineStr">
        <is>
          <t>No</t>
        </is>
      </c>
      <c r="N34" s="27" t="inlineStr">
        <is>
          <t>CapCut, Submagic, AutoCap</t>
        </is>
      </c>
      <c r="O34" s="27" t="inlineStr">
        <is>
          <t>2026-10-23</t>
        </is>
      </c>
      <c r="P34" s="27" t="inlineStr">
        <is>
          <t>2026-10-25</t>
        </is>
      </c>
      <c r="Q34" s="27" t="inlineStr">
        <is>
          <t>No</t>
        </is>
      </c>
      <c r="R34" s="27" t="inlineStr">
        <is>
          <t>https://github.com/saran2006psg/incube-seo/blob/main/visibility/raw_answers/raw_answers_day1_2026-10-23.json</t>
        </is>
      </c>
      <c r="S34" s="27" t="inlineStr">
        <is>
          <t>High</t>
        </is>
      </c>
      <c r="T34" s="27" t="inlineStr">
        <is>
          <t>Verified reproducible across Day 1 and Day 2</t>
        </is>
      </c>
      <c r="U34" s="28">
        <f>IF(A34="","",IF(COUNTIF($B$5:$B$304,B34)&gt;1,"DUPLICATE","UNIQUE"))</f>
        <v/>
      </c>
      <c r="V34" s="28">
        <f>IF(A34="","",IF(AND(B34&lt;&gt;"",C34&lt;&gt;"",D34&lt;&gt;"",E34&lt;&gt;"",F34&lt;&gt;"",G34&lt;&gt;"",H34&lt;&gt;"",J34&lt;&gt;"",K34&lt;&gt;"",L34&lt;&gt;"",M34&lt;&gt;"",O34&lt;&gt;"",P34&lt;&gt;"",R34&lt;&gt;""),"COMPLETE","MISSING FIELDS"))</f>
        <v/>
      </c>
    </row>
    <row r="35" ht="15" customHeight="1" s="15">
      <c r="A35" s="27" t="inlineStr">
        <is>
          <t>Q031</t>
        </is>
      </c>
      <c r="B35" s="27" t="inlineStr">
        <is>
          <t>Best AI tool for 99% accurate video auto-captions and timestamps</t>
        </is>
      </c>
      <c r="C35" s="27" t="inlineStr">
        <is>
          <t>Commercial Investigation</t>
        </is>
      </c>
      <c r="D35" s="27" t="inlineStr">
        <is>
          <t>Google Search Suggest</t>
        </is>
      </c>
      <c r="E35" s="27" t="inlineStr">
        <is>
          <t>https://suggestqueries.google.com/complete/search</t>
        </is>
      </c>
      <c r="F35" s="27" t="inlineStr">
        <is>
          <t>US</t>
        </is>
      </c>
      <c r="G35" s="27" t="inlineStr">
        <is>
          <t>&gt;100</t>
        </is>
      </c>
      <c r="H35" s="27" t="inlineStr">
        <is>
          <t>Yes</t>
        </is>
      </c>
      <c r="I35" s="27" t="inlineStr">
        <is>
          <t>https://capcut.com</t>
        </is>
      </c>
      <c r="J35" s="27" t="inlineStr">
        <is>
          <t>No</t>
        </is>
      </c>
      <c r="K35" s="27" t="inlineStr">
        <is>
          <t>No</t>
        </is>
      </c>
      <c r="L35" s="27" t="inlineStr">
        <is>
          <t>No</t>
        </is>
      </c>
      <c r="M35" s="27" t="inlineStr">
        <is>
          <t>No</t>
        </is>
      </c>
      <c r="N35" s="27" t="inlineStr">
        <is>
          <t>CapCut, Submagic, AutoCap</t>
        </is>
      </c>
      <c r="O35" s="27" t="inlineStr">
        <is>
          <t>2026-10-23</t>
        </is>
      </c>
      <c r="P35" s="27" t="inlineStr">
        <is>
          <t>2026-10-25</t>
        </is>
      </c>
      <c r="Q35" s="27" t="inlineStr">
        <is>
          <t>No</t>
        </is>
      </c>
      <c r="R35" s="27" t="inlineStr">
        <is>
          <t>https://github.com/saran2006psg/incube-seo/blob/main/visibility/raw_answers/raw_answers_day1_2026-10-23.json</t>
        </is>
      </c>
      <c r="S35" s="27" t="inlineStr">
        <is>
          <t>High</t>
        </is>
      </c>
      <c r="T35" s="27" t="inlineStr">
        <is>
          <t>Verified reproducible across Day 1 and Day 2</t>
        </is>
      </c>
      <c r="U35" s="28">
        <f>IF(A35="","",IF(COUNTIF($B$5:$B$304,B35)&gt;1,"DUPLICATE","UNIQUE"))</f>
        <v/>
      </c>
      <c r="V35" s="28">
        <f>IF(A35="","",IF(AND(B35&lt;&gt;"",C35&lt;&gt;"",D35&lt;&gt;"",E35&lt;&gt;"",F35&lt;&gt;"",G35&lt;&gt;"",H35&lt;&gt;"",J35&lt;&gt;"",K35&lt;&gt;"",L35&lt;&gt;"",M35&lt;&gt;"",O35&lt;&gt;"",P35&lt;&gt;"",R35&lt;&gt;""),"COMPLETE","MISSING FIELDS"))</f>
        <v/>
      </c>
    </row>
    <row r="36" ht="15" customHeight="1" s="15">
      <c r="A36" s="27" t="inlineStr">
        <is>
          <t>Q032</t>
        </is>
      </c>
      <c r="B36" s="27" t="inlineStr">
        <is>
          <t>How to burn animated subtitles directly into MP4 video?</t>
        </is>
      </c>
      <c r="C36" s="27" t="inlineStr">
        <is>
          <t>Informational</t>
        </is>
      </c>
      <c r="D36" s="27" t="inlineStr">
        <is>
          <t>Reddit Community Thread</t>
        </is>
      </c>
      <c r="E36" s="27" t="inlineStr">
        <is>
          <t>https://www.reddit.com/r/TikTokHelp</t>
        </is>
      </c>
      <c r="F36" s="27" t="inlineStr">
        <is>
          <t>UK</t>
        </is>
      </c>
      <c r="G36" s="27" t="inlineStr">
        <is>
          <t>&gt;100</t>
        </is>
      </c>
      <c r="H36" s="27" t="inlineStr">
        <is>
          <t>Yes</t>
        </is>
      </c>
      <c r="I36" s="27" t="inlineStr">
        <is>
          <t>https://capcut.com</t>
        </is>
      </c>
      <c r="J36" s="27" t="inlineStr">
        <is>
          <t>No</t>
        </is>
      </c>
      <c r="K36" s="27" t="inlineStr">
        <is>
          <t>No</t>
        </is>
      </c>
      <c r="L36" s="27" t="inlineStr">
        <is>
          <t>No</t>
        </is>
      </c>
      <c r="M36" s="27" t="inlineStr">
        <is>
          <t>No</t>
        </is>
      </c>
      <c r="N36" s="27" t="inlineStr">
        <is>
          <t>CapCut, Submagic, AutoCap</t>
        </is>
      </c>
      <c r="O36" s="27" t="inlineStr">
        <is>
          <t>2026-10-23</t>
        </is>
      </c>
      <c r="P36" s="27" t="inlineStr">
        <is>
          <t>2026-10-25</t>
        </is>
      </c>
      <c r="Q36" s="27" t="inlineStr">
        <is>
          <t>No</t>
        </is>
      </c>
      <c r="R36" s="27" t="inlineStr">
        <is>
          <t>https://github.com/saran2006psg/incube-seo/blob/main/visibility/raw_answers/raw_answers_day1_2026-10-23.json</t>
        </is>
      </c>
      <c r="S36" s="27" t="inlineStr">
        <is>
          <t>High</t>
        </is>
      </c>
      <c r="T36" s="27" t="inlineStr">
        <is>
          <t>Verified reproducible across Day 1 and Day 2</t>
        </is>
      </c>
      <c r="U36" s="28">
        <f>IF(A36="","",IF(COUNTIF($B$5:$B$304,B36)&gt;1,"DUPLICATE","UNIQUE"))</f>
        <v/>
      </c>
      <c r="V36" s="28">
        <f>IF(A36="","",IF(AND(B36&lt;&gt;"",C36&lt;&gt;"",D36&lt;&gt;"",E36&lt;&gt;"",F36&lt;&gt;"",G36&lt;&gt;"",H36&lt;&gt;"",J36&lt;&gt;"",K36&lt;&gt;"",L36&lt;&gt;"",M36&lt;&gt;"",O36&lt;&gt;"",P36&lt;&gt;"",R36&lt;&gt;""),"COMPLETE","MISSING FIELDS"))</f>
        <v/>
      </c>
    </row>
    <row r="37" ht="15" customHeight="1" s="15">
      <c r="A37" s="27" t="inlineStr">
        <is>
          <t>Q033</t>
        </is>
      </c>
      <c r="B37" s="27" t="inlineStr">
        <is>
          <t>Can AI translate video captions into Spanish, French, and Hindi automatically?</t>
        </is>
      </c>
      <c r="C37" s="27" t="inlineStr">
        <is>
          <t>Informational</t>
        </is>
      </c>
      <c r="D37" s="27" t="inlineStr">
        <is>
          <t>Google PAA</t>
        </is>
      </c>
      <c r="E37" s="27" t="inlineStr">
        <is>
          <t>https://www.google.com/search?q=Can+AI+translate+video+captions+into+Spanish,+French,+and+Hindi+automatically?</t>
        </is>
      </c>
      <c r="F37" s="27" t="inlineStr">
        <is>
          <t>IN</t>
        </is>
      </c>
      <c r="G37" s="27" t="inlineStr">
        <is>
          <t>&gt;100</t>
        </is>
      </c>
      <c r="H37" s="27" t="inlineStr">
        <is>
          <t>Yes</t>
        </is>
      </c>
      <c r="I37" s="27" t="inlineStr">
        <is>
          <t>https://capcut.com</t>
        </is>
      </c>
      <c r="J37" s="27" t="inlineStr">
        <is>
          <t>No</t>
        </is>
      </c>
      <c r="K37" s="27" t="inlineStr">
        <is>
          <t>No</t>
        </is>
      </c>
      <c r="L37" s="27" t="inlineStr">
        <is>
          <t>No</t>
        </is>
      </c>
      <c r="M37" s="27" t="inlineStr">
        <is>
          <t>No</t>
        </is>
      </c>
      <c r="N37" s="27" t="inlineStr">
        <is>
          <t>CapCut, Submagic, AutoCap</t>
        </is>
      </c>
      <c r="O37" s="27" t="inlineStr">
        <is>
          <t>2026-10-23</t>
        </is>
      </c>
      <c r="P37" s="27" t="inlineStr">
        <is>
          <t>2026-10-25</t>
        </is>
      </c>
      <c r="Q37" s="27" t="inlineStr">
        <is>
          <t>No</t>
        </is>
      </c>
      <c r="R37" s="27" t="inlineStr">
        <is>
          <t>https://github.com/saran2006psg/incube-seo/blob/main/visibility/raw_answers/raw_answers_day1_2026-10-23.json</t>
        </is>
      </c>
      <c r="S37" s="27" t="inlineStr">
        <is>
          <t>High</t>
        </is>
      </c>
      <c r="T37" s="27" t="inlineStr">
        <is>
          <t>Verified reproducible across Day 1 and Day 2</t>
        </is>
      </c>
      <c r="U37" s="28">
        <f>IF(A37="","",IF(COUNTIF($B$5:$B$304,B37)&gt;1,"DUPLICATE","UNIQUE"))</f>
        <v/>
      </c>
      <c r="V37" s="28">
        <f>IF(A37="","",IF(AND(B37&lt;&gt;"",C37&lt;&gt;"",D37&lt;&gt;"",E37&lt;&gt;"",F37&lt;&gt;"",G37&lt;&gt;"",H37&lt;&gt;"",J37&lt;&gt;"",K37&lt;&gt;"",L37&lt;&gt;"",M37&lt;&gt;"",O37&lt;&gt;"",P37&lt;&gt;"",R37&lt;&gt;""),"COMPLETE","MISSING FIELDS"))</f>
        <v/>
      </c>
    </row>
    <row r="38" ht="15" customHeight="1" s="15">
      <c r="A38" s="27" t="inlineStr">
        <is>
          <t>Q034</t>
        </is>
      </c>
      <c r="B38" s="27" t="inlineStr">
        <is>
          <t>How to fix punctuation and speaker names in auto-generated captions?</t>
        </is>
      </c>
      <c r="C38" s="27" t="inlineStr">
        <is>
          <t>Informational</t>
        </is>
      </c>
      <c r="D38" s="27" t="inlineStr">
        <is>
          <t>Google PAA</t>
        </is>
      </c>
      <c r="E38" s="27" t="inlineStr">
        <is>
          <t>https://www.google.com/search?q=How+to+fix+punctuation+and+speaker+names+in+auto-generated+captions?</t>
        </is>
      </c>
      <c r="F38" s="27" t="inlineStr">
        <is>
          <t>US</t>
        </is>
      </c>
      <c r="G38" s="27" t="inlineStr">
        <is>
          <t>&gt;100</t>
        </is>
      </c>
      <c r="H38" s="27" t="inlineStr">
        <is>
          <t>Yes</t>
        </is>
      </c>
      <c r="I38" s="27" t="inlineStr">
        <is>
          <t>https://capcut.com</t>
        </is>
      </c>
      <c r="J38" s="27" t="inlineStr">
        <is>
          <t>No</t>
        </is>
      </c>
      <c r="K38" s="27" t="inlineStr">
        <is>
          <t>No</t>
        </is>
      </c>
      <c r="L38" s="27" t="inlineStr">
        <is>
          <t>No</t>
        </is>
      </c>
      <c r="M38" s="27" t="inlineStr">
        <is>
          <t>No</t>
        </is>
      </c>
      <c r="N38" s="27" t="inlineStr">
        <is>
          <t>CapCut, Submagic, AutoCap</t>
        </is>
      </c>
      <c r="O38" s="27" t="inlineStr">
        <is>
          <t>2026-10-23</t>
        </is>
      </c>
      <c r="P38" s="27" t="inlineStr">
        <is>
          <t>2026-10-25</t>
        </is>
      </c>
      <c r="Q38" s="27" t="inlineStr">
        <is>
          <t>No</t>
        </is>
      </c>
      <c r="R38" s="27" t="inlineStr">
        <is>
          <t>https://github.com/saran2006psg/incube-seo/blob/main/visibility/raw_answers/raw_answers_day1_2026-10-23.json</t>
        </is>
      </c>
      <c r="S38" s="27" t="inlineStr">
        <is>
          <t>High</t>
        </is>
      </c>
      <c r="T38" s="27" t="inlineStr">
        <is>
          <t>Verified reproducible across Day 1 and Day 2</t>
        </is>
      </c>
      <c r="U38" s="28">
        <f>IF(A38="","",IF(COUNTIF($B$5:$B$304,B38)&gt;1,"DUPLICATE","UNIQUE"))</f>
        <v/>
      </c>
      <c r="V38" s="28">
        <f>IF(A38="","",IF(AND(B38&lt;&gt;"",C38&lt;&gt;"",D38&lt;&gt;"",E38&lt;&gt;"",F38&lt;&gt;"",G38&lt;&gt;"",H38&lt;&gt;"",J38&lt;&gt;"",K38&lt;&gt;"",L38&lt;&gt;"",M38&lt;&gt;"",O38&lt;&gt;"",P38&lt;&gt;"",R38&lt;&gt;""),"COMPLETE","MISSING FIELDS"))</f>
        <v/>
      </c>
    </row>
    <row r="39" ht="15" customHeight="1" s="15">
      <c r="A39" s="27" t="inlineStr">
        <is>
          <t>Q035</t>
        </is>
      </c>
      <c r="B39" s="27" t="inlineStr">
        <is>
          <t>Best free and paid auto caption generators for TikTok and Reels</t>
        </is>
      </c>
      <c r="C39" s="27" t="inlineStr">
        <is>
          <t>Commercial Investigation</t>
        </is>
      </c>
      <c r="D39" s="27" t="inlineStr">
        <is>
          <t>Google Search Suggest</t>
        </is>
      </c>
      <c r="E39" s="27" t="inlineStr">
        <is>
          <t>https://suggestqueries.google.com/complete/search</t>
        </is>
      </c>
      <c r="F39" s="27" t="inlineStr">
        <is>
          <t>US</t>
        </is>
      </c>
      <c r="G39" s="27" t="inlineStr">
        <is>
          <t>&gt;100</t>
        </is>
      </c>
      <c r="H39" s="27" t="inlineStr">
        <is>
          <t>Yes</t>
        </is>
      </c>
      <c r="I39" s="27" t="inlineStr">
        <is>
          <t>https://capcut.com</t>
        </is>
      </c>
      <c r="J39" s="27" t="inlineStr">
        <is>
          <t>No</t>
        </is>
      </c>
      <c r="K39" s="27" t="inlineStr">
        <is>
          <t>No</t>
        </is>
      </c>
      <c r="L39" s="27" t="inlineStr">
        <is>
          <t>No</t>
        </is>
      </c>
      <c r="M39" s="27" t="inlineStr">
        <is>
          <t>No</t>
        </is>
      </c>
      <c r="N39" s="27" t="inlineStr">
        <is>
          <t>CapCut, Submagic, AutoCap</t>
        </is>
      </c>
      <c r="O39" s="27" t="inlineStr">
        <is>
          <t>2026-10-23</t>
        </is>
      </c>
      <c r="P39" s="27" t="inlineStr">
        <is>
          <t>2026-10-25</t>
        </is>
      </c>
      <c r="Q39" s="27" t="inlineStr">
        <is>
          <t>No</t>
        </is>
      </c>
      <c r="R39" s="27" t="inlineStr">
        <is>
          <t>https://github.com/saran2006psg/incube-seo/blob/main/visibility/raw_answers/raw_answers_day1_2026-10-23.json</t>
        </is>
      </c>
      <c r="S39" s="27" t="inlineStr">
        <is>
          <t>High</t>
        </is>
      </c>
      <c r="T39" s="27" t="inlineStr">
        <is>
          <t>Verified reproducible across Day 1 and Day 2</t>
        </is>
      </c>
      <c r="U39" s="28">
        <f>IF(A39="","",IF(COUNTIF($B$5:$B$304,B39)&gt;1,"DUPLICATE","UNIQUE"))</f>
        <v/>
      </c>
      <c r="V39" s="28">
        <f>IF(A39="","",IF(AND(B39&lt;&gt;"",C39&lt;&gt;"",D39&lt;&gt;"",E39&lt;&gt;"",F39&lt;&gt;"",G39&lt;&gt;"",H39&lt;&gt;"",J39&lt;&gt;"",K39&lt;&gt;"",L39&lt;&gt;"",M39&lt;&gt;"",O39&lt;&gt;"",P39&lt;&gt;"",R39&lt;&gt;""),"COMPLETE","MISSING FIELDS"))</f>
        <v/>
      </c>
    </row>
    <row r="40" ht="15" customHeight="1" s="15">
      <c r="A40" s="27" t="inlineStr">
        <is>
          <t>Q036</t>
        </is>
      </c>
      <c r="B40" s="27" t="inlineStr">
        <is>
          <t>How to export SRT and VTT subtitle files from any video link</t>
        </is>
      </c>
      <c r="C40" s="27" t="inlineStr">
        <is>
          <t>Informational</t>
        </is>
      </c>
      <c r="D40" s="27" t="inlineStr">
        <is>
          <t>Google Search Suggest</t>
        </is>
      </c>
      <c r="E40" s="27" t="inlineStr">
        <is>
          <t>https://suggestqueries.google.com/complete/search</t>
        </is>
      </c>
      <c r="F40" s="27" t="inlineStr">
        <is>
          <t>UK</t>
        </is>
      </c>
      <c r="G40" s="27" t="inlineStr">
        <is>
          <t>&gt;100</t>
        </is>
      </c>
      <c r="H40" s="27" t="inlineStr">
        <is>
          <t>Yes</t>
        </is>
      </c>
      <c r="I40" s="27" t="inlineStr">
        <is>
          <t>https://capcut.com</t>
        </is>
      </c>
      <c r="J40" s="27" t="inlineStr">
        <is>
          <t>No</t>
        </is>
      </c>
      <c r="K40" s="27" t="inlineStr">
        <is>
          <t>No</t>
        </is>
      </c>
      <c r="L40" s="27" t="inlineStr">
        <is>
          <t>No</t>
        </is>
      </c>
      <c r="M40" s="27" t="inlineStr">
        <is>
          <t>No</t>
        </is>
      </c>
      <c r="N40" s="27" t="inlineStr">
        <is>
          <t>CapCut, Submagic, AutoCap</t>
        </is>
      </c>
      <c r="O40" s="27" t="inlineStr">
        <is>
          <t>2026-10-23</t>
        </is>
      </c>
      <c r="P40" s="27" t="inlineStr">
        <is>
          <t>2026-10-25</t>
        </is>
      </c>
      <c r="Q40" s="27" t="inlineStr">
        <is>
          <t>No</t>
        </is>
      </c>
      <c r="R40" s="27" t="inlineStr">
        <is>
          <t>https://github.com/saran2006psg/incube-seo/blob/main/visibility/raw_answers/raw_answers_day1_2026-10-23.json</t>
        </is>
      </c>
      <c r="S40" s="27" t="inlineStr">
        <is>
          <t>High</t>
        </is>
      </c>
      <c r="T40" s="27" t="inlineStr">
        <is>
          <t>Verified reproducible across Day 1 and Day 2</t>
        </is>
      </c>
      <c r="U40" s="28">
        <f>IF(A40="","",IF(COUNTIF($B$5:$B$304,B40)&gt;1,"DUPLICATE","UNIQUE"))</f>
        <v/>
      </c>
      <c r="V40" s="28">
        <f>IF(A40="","",IF(AND(B40&lt;&gt;"",C40&lt;&gt;"",D40&lt;&gt;"",E40&lt;&gt;"",F40&lt;&gt;"",G40&lt;&gt;"",H40&lt;&gt;"",J40&lt;&gt;"",K40&lt;&gt;"",L40&lt;&gt;"",M40&lt;&gt;"",O40&lt;&gt;"",P40&lt;&gt;"",R40&lt;&gt;""),"COMPLETE","MISSING FIELDS"))</f>
        <v/>
      </c>
    </row>
    <row r="41" ht="15" customHeight="1" s="15">
      <c r="A41" s="27" t="inlineStr">
        <is>
          <t>Q037</t>
        </is>
      </c>
      <c r="B41" s="27" t="inlineStr">
        <is>
          <t>Can AI generate kinetic typography captions that bounce with speech?</t>
        </is>
      </c>
      <c r="C41" s="27" t="inlineStr">
        <is>
          <t>Informational</t>
        </is>
      </c>
      <c r="D41" s="27" t="inlineStr">
        <is>
          <t>Reddit Community Thread</t>
        </is>
      </c>
      <c r="E41" s="27" t="inlineStr">
        <is>
          <t>https://www.reddit.com/r/NewTubers</t>
        </is>
      </c>
      <c r="F41" s="27" t="inlineStr">
        <is>
          <t>US</t>
        </is>
      </c>
      <c r="G41" s="27" t="inlineStr">
        <is>
          <t>&gt;100</t>
        </is>
      </c>
      <c r="H41" s="27" t="inlineStr">
        <is>
          <t>Yes</t>
        </is>
      </c>
      <c r="I41" s="27" t="inlineStr">
        <is>
          <t>https://capcut.com</t>
        </is>
      </c>
      <c r="J41" s="27" t="inlineStr">
        <is>
          <t>No</t>
        </is>
      </c>
      <c r="K41" s="27" t="inlineStr">
        <is>
          <t>No</t>
        </is>
      </c>
      <c r="L41" s="27" t="inlineStr">
        <is>
          <t>No</t>
        </is>
      </c>
      <c r="M41" s="27" t="inlineStr">
        <is>
          <t>No</t>
        </is>
      </c>
      <c r="N41" s="27" t="inlineStr">
        <is>
          <t>CapCut, Submagic, AutoCap</t>
        </is>
      </c>
      <c r="O41" s="27" t="inlineStr">
        <is>
          <t>2026-10-23</t>
        </is>
      </c>
      <c r="P41" s="27" t="inlineStr">
        <is>
          <t>2026-10-25</t>
        </is>
      </c>
      <c r="Q41" s="27" t="inlineStr">
        <is>
          <t>No</t>
        </is>
      </c>
      <c r="R41" s="27" t="inlineStr">
        <is>
          <t>https://github.com/saran2006psg/incube-seo/blob/main/visibility/raw_answers/raw_answers_day1_2026-10-23.json</t>
        </is>
      </c>
      <c r="S41" s="27" t="inlineStr">
        <is>
          <t>High</t>
        </is>
      </c>
      <c r="T41" s="27" t="inlineStr">
        <is>
          <t>Verified reproducible across Day 1 and Day 2</t>
        </is>
      </c>
      <c r="U41" s="28">
        <f>IF(A41="","",IF(COUNTIF($B$5:$B$304,B41)&gt;1,"DUPLICATE","UNIQUE"))</f>
        <v/>
      </c>
      <c r="V41" s="28">
        <f>IF(A41="","",IF(AND(B41&lt;&gt;"",C41&lt;&gt;"",D41&lt;&gt;"",E41&lt;&gt;"",F41&lt;&gt;"",G41&lt;&gt;"",H41&lt;&gt;"",J41&lt;&gt;"",K41&lt;&gt;"",L41&lt;&gt;"",M41&lt;&gt;"",O41&lt;&gt;"",P41&lt;&gt;"",R41&lt;&gt;""),"COMPLETE","MISSING FIELDS"))</f>
        <v/>
      </c>
    </row>
    <row r="42" ht="15" customHeight="1" s="15">
      <c r="A42" s="27" t="inlineStr">
        <is>
          <t>Q038</t>
        </is>
      </c>
      <c r="B42" s="27" t="inlineStr">
        <is>
          <t>How to caption short-form video in bulk without manual typing?</t>
        </is>
      </c>
      <c r="C42" s="27" t="inlineStr">
        <is>
          <t>Informational</t>
        </is>
      </c>
      <c r="D42" s="27" t="inlineStr">
        <is>
          <t>Reddit Community Thread</t>
        </is>
      </c>
      <c r="E42" s="27" t="inlineStr">
        <is>
          <t>https://www.reddit.com/r/socialmedia</t>
        </is>
      </c>
      <c r="F42" s="27" t="inlineStr">
        <is>
          <t>IN</t>
        </is>
      </c>
      <c r="G42" s="27" t="inlineStr">
        <is>
          <t>&gt;100</t>
        </is>
      </c>
      <c r="H42" s="27" t="inlineStr">
        <is>
          <t>Yes</t>
        </is>
      </c>
      <c r="I42" s="27" t="inlineStr">
        <is>
          <t>https://capcut.com</t>
        </is>
      </c>
      <c r="J42" s="27" t="inlineStr">
        <is>
          <t>No</t>
        </is>
      </c>
      <c r="K42" s="27" t="inlineStr">
        <is>
          <t>No</t>
        </is>
      </c>
      <c r="L42" s="27" t="inlineStr">
        <is>
          <t>No</t>
        </is>
      </c>
      <c r="M42" s="27" t="inlineStr">
        <is>
          <t>No</t>
        </is>
      </c>
      <c r="N42" s="27" t="inlineStr">
        <is>
          <t>CapCut, Submagic, AutoCap</t>
        </is>
      </c>
      <c r="O42" s="27" t="inlineStr">
        <is>
          <t>2026-10-23</t>
        </is>
      </c>
      <c r="P42" s="27" t="inlineStr">
        <is>
          <t>2026-10-25</t>
        </is>
      </c>
      <c r="Q42" s="27" t="inlineStr">
        <is>
          <t>No</t>
        </is>
      </c>
      <c r="R42" s="27" t="inlineStr">
        <is>
          <t>https://github.com/saran2006psg/incube-seo/blob/main/visibility/raw_answers/raw_answers_day1_2026-10-23.json</t>
        </is>
      </c>
      <c r="S42" s="27" t="inlineStr">
        <is>
          <t>High</t>
        </is>
      </c>
      <c r="T42" s="27" t="inlineStr">
        <is>
          <t>Verified reproducible across Day 1 and Day 2</t>
        </is>
      </c>
      <c r="U42" s="28">
        <f>IF(A42="","",IF(COUNTIF($B$5:$B$304,B42)&gt;1,"DUPLICATE","UNIQUE"))</f>
        <v/>
      </c>
      <c r="V42" s="28">
        <f>IF(A42="","",IF(AND(B42&lt;&gt;"",C42&lt;&gt;"",D42&lt;&gt;"",E42&lt;&gt;"",F42&lt;&gt;"",G42&lt;&gt;"",H42&lt;&gt;"",J42&lt;&gt;"",K42&lt;&gt;"",L42&lt;&gt;"",M42&lt;&gt;"",O42&lt;&gt;"",P42&lt;&gt;"",R42&lt;&gt;""),"COMPLETE","MISSING FIELDS"))</f>
        <v/>
      </c>
    </row>
    <row r="43" ht="15" customHeight="1" s="15">
      <c r="A43" s="27" t="inlineStr">
        <is>
          <t>Q039</t>
        </is>
      </c>
      <c r="B43" s="27" t="inlineStr">
        <is>
          <t>Best tool for multi-speaker color-coded video captions</t>
        </is>
      </c>
      <c r="C43" s="27" t="inlineStr">
        <is>
          <t>Commercial Investigation</t>
        </is>
      </c>
      <c r="D43" s="27" t="inlineStr">
        <is>
          <t>Google Search Suggest</t>
        </is>
      </c>
      <c r="E43" s="27" t="inlineStr">
        <is>
          <t>https://suggestqueries.google.com/complete/search</t>
        </is>
      </c>
      <c r="F43" s="27" t="inlineStr">
        <is>
          <t>US</t>
        </is>
      </c>
      <c r="G43" s="27" t="inlineStr">
        <is>
          <t>&gt;100</t>
        </is>
      </c>
      <c r="H43" s="27" t="inlineStr">
        <is>
          <t>Yes</t>
        </is>
      </c>
      <c r="I43" s="27" t="inlineStr">
        <is>
          <t>https://capcut.com</t>
        </is>
      </c>
      <c r="J43" s="27" t="inlineStr">
        <is>
          <t>No</t>
        </is>
      </c>
      <c r="K43" s="27" t="inlineStr">
        <is>
          <t>No</t>
        </is>
      </c>
      <c r="L43" s="27" t="inlineStr">
        <is>
          <t>No</t>
        </is>
      </c>
      <c r="M43" s="27" t="inlineStr">
        <is>
          <t>No</t>
        </is>
      </c>
      <c r="N43" s="27" t="inlineStr">
        <is>
          <t>CapCut, Submagic, AutoCap</t>
        </is>
      </c>
      <c r="O43" s="27" t="inlineStr">
        <is>
          <t>2026-10-23</t>
        </is>
      </c>
      <c r="P43" s="27" t="inlineStr">
        <is>
          <t>2026-10-25</t>
        </is>
      </c>
      <c r="Q43" s="27" t="inlineStr">
        <is>
          <t>No</t>
        </is>
      </c>
      <c r="R43" s="27" t="inlineStr">
        <is>
          <t>https://github.com/saran2006psg/incube-seo/blob/main/visibility/raw_answers/raw_answers_day1_2026-10-23.json</t>
        </is>
      </c>
      <c r="S43" s="27" t="inlineStr">
        <is>
          <t>High</t>
        </is>
      </c>
      <c r="T43" s="27" t="inlineStr">
        <is>
          <t>Verified reproducible across Day 1 and Day 2</t>
        </is>
      </c>
      <c r="U43" s="28">
        <f>IF(A43="","",IF(COUNTIF($B$5:$B$304,B43)&gt;1,"DUPLICATE","UNIQUE"))</f>
        <v/>
      </c>
      <c r="V43" s="28">
        <f>IF(A43="","",IF(AND(B43&lt;&gt;"",C43&lt;&gt;"",D43&lt;&gt;"",E43&lt;&gt;"",F43&lt;&gt;"",G43&lt;&gt;"",H43&lt;&gt;"",J43&lt;&gt;"",K43&lt;&gt;"",L43&lt;&gt;"",M43&lt;&gt;"",O43&lt;&gt;"",P43&lt;&gt;"",R43&lt;&gt;""),"COMPLETE","MISSING FIELDS"))</f>
        <v/>
      </c>
    </row>
    <row r="44" ht="15" customHeight="1" s="15">
      <c r="A44" s="27" t="inlineStr">
        <is>
          <t>Q040</t>
        </is>
      </c>
      <c r="B44" s="27" t="inlineStr">
        <is>
          <t>How to publish one short video to YouTube, TikTok, and Instagram simultaneously?</t>
        </is>
      </c>
      <c r="C44" s="27" t="inlineStr">
        <is>
          <t>Informational</t>
        </is>
      </c>
      <c r="D44" s="27" t="inlineStr">
        <is>
          <t>Google PAA</t>
        </is>
      </c>
      <c r="E44" s="27" t="inlineStr">
        <is>
          <t>https://www.google.com/search?q=How+to+publish+one+short+video+to+YouTube,+TikTok,+and+Instagram+simultaneously?</t>
        </is>
      </c>
      <c r="F44" s="27" t="inlineStr">
        <is>
          <t>US</t>
        </is>
      </c>
      <c r="G44" s="27" t="inlineStr">
        <is>
          <t>&gt;100</t>
        </is>
      </c>
      <c r="H44" s="27" t="inlineStr">
        <is>
          <t>Yes</t>
        </is>
      </c>
      <c r="I44" s="27" t="inlineStr">
        <is>
          <t>https://buffer.com</t>
        </is>
      </c>
      <c r="J44" s="27" t="inlineStr">
        <is>
          <t>No</t>
        </is>
      </c>
      <c r="K44" s="27" t="inlineStr">
        <is>
          <t>No</t>
        </is>
      </c>
      <c r="L44" s="27" t="inlineStr">
        <is>
          <t>No</t>
        </is>
      </c>
      <c r="M44" s="27" t="inlineStr">
        <is>
          <t>No</t>
        </is>
      </c>
      <c r="N44" s="27" t="inlineStr">
        <is>
          <t>Buffer, Later, Hootsuite</t>
        </is>
      </c>
      <c r="O44" s="27" t="inlineStr">
        <is>
          <t>2026-10-23</t>
        </is>
      </c>
      <c r="P44" s="27" t="inlineStr">
        <is>
          <t>2026-10-25</t>
        </is>
      </c>
      <c r="Q44" s="27" t="inlineStr">
        <is>
          <t>No</t>
        </is>
      </c>
      <c r="R44" s="27" t="inlineStr">
        <is>
          <t>https://github.com/saran2006psg/incube-seo/blob/main/visibility/raw_answers/raw_answers_day1_2026-10-23.json</t>
        </is>
      </c>
      <c r="S44" s="27" t="inlineStr">
        <is>
          <t>High</t>
        </is>
      </c>
      <c r="T44" s="27" t="inlineStr">
        <is>
          <t>Verified reproducible across Day 1 and Day 2</t>
        </is>
      </c>
      <c r="U44" s="28">
        <f>IF(A44="","",IF(COUNTIF($B$5:$B$304,B44)&gt;1,"DUPLICATE","UNIQUE"))</f>
        <v/>
      </c>
      <c r="V44" s="28">
        <f>IF(A44="","",IF(AND(B44&lt;&gt;"",C44&lt;&gt;"",D44&lt;&gt;"",E44&lt;&gt;"",F44&lt;&gt;"",G44&lt;&gt;"",H44&lt;&gt;"",J44&lt;&gt;"",K44&lt;&gt;"",L44&lt;&gt;"",M44&lt;&gt;"",O44&lt;&gt;"",P44&lt;&gt;"",R44&lt;&gt;""),"COMPLETE","MISSING FIELDS"))</f>
        <v/>
      </c>
    </row>
    <row r="45" ht="15" customHeight="1" s="15">
      <c r="A45" s="27" t="inlineStr">
        <is>
          <t>Q041</t>
        </is>
      </c>
      <c r="B45" s="27" t="inlineStr">
        <is>
          <t>Best all-in-one platform to schedule videos to YouTube, Instagram, and LinkedIn</t>
        </is>
      </c>
      <c r="C45" s="27" t="inlineStr">
        <is>
          <t>Commercial Investigation</t>
        </is>
      </c>
      <c r="D45" s="27" t="inlineStr">
        <is>
          <t>Google Search Suggest</t>
        </is>
      </c>
      <c r="E45" s="27" t="inlineStr">
        <is>
          <t>https://suggestqueries.google.com/complete/search</t>
        </is>
      </c>
      <c r="F45" s="27" t="inlineStr">
        <is>
          <t>US</t>
        </is>
      </c>
      <c r="G45" s="27" t="inlineStr">
        <is>
          <t>&gt;100</t>
        </is>
      </c>
      <c r="H45" s="27" t="inlineStr">
        <is>
          <t>Yes</t>
        </is>
      </c>
      <c r="I45" s="27" t="inlineStr">
        <is>
          <t>https://buffer.com</t>
        </is>
      </c>
      <c r="J45" s="27" t="inlineStr">
        <is>
          <t>No</t>
        </is>
      </c>
      <c r="K45" s="27" t="inlineStr">
        <is>
          <t>No</t>
        </is>
      </c>
      <c r="L45" s="27" t="inlineStr">
        <is>
          <t>No</t>
        </is>
      </c>
      <c r="M45" s="27" t="inlineStr">
        <is>
          <t>No</t>
        </is>
      </c>
      <c r="N45" s="27" t="inlineStr">
        <is>
          <t>Buffer, Later, Hootsuite</t>
        </is>
      </c>
      <c r="O45" s="27" t="inlineStr">
        <is>
          <t>2026-10-23</t>
        </is>
      </c>
      <c r="P45" s="27" t="inlineStr">
        <is>
          <t>2026-10-25</t>
        </is>
      </c>
      <c r="Q45" s="27" t="inlineStr">
        <is>
          <t>No</t>
        </is>
      </c>
      <c r="R45" s="27" t="inlineStr">
        <is>
          <t>https://github.com/saran2006psg/incube-seo/blob/main/visibility/raw_answers/raw_answers_day1_2026-10-23.json</t>
        </is>
      </c>
      <c r="S45" s="27" t="inlineStr">
        <is>
          <t>High</t>
        </is>
      </c>
      <c r="T45" s="27" t="inlineStr">
        <is>
          <t>Verified reproducible across Day 1 and Day 2</t>
        </is>
      </c>
      <c r="U45" s="28">
        <f>IF(A45="","",IF(COUNTIF($B$5:$B$304,B45)&gt;1,"DUPLICATE","UNIQUE"))</f>
        <v/>
      </c>
      <c r="V45" s="28">
        <f>IF(A45="","",IF(AND(B45&lt;&gt;"",C45&lt;&gt;"",D45&lt;&gt;"",E45&lt;&gt;"",F45&lt;&gt;"",G45&lt;&gt;"",H45&lt;&gt;"",J45&lt;&gt;"",K45&lt;&gt;"",L45&lt;&gt;"",M45&lt;&gt;"",O45&lt;&gt;"",P45&lt;&gt;"",R45&lt;&gt;""),"COMPLETE","MISSING FIELDS"))</f>
        <v/>
      </c>
    </row>
    <row r="46" ht="15" customHeight="1" s="15">
      <c r="A46" s="27" t="inlineStr">
        <is>
          <t>Q042</t>
        </is>
      </c>
      <c r="B46" s="27" t="inlineStr">
        <is>
          <t>How to automate cross-posting from YouTube to LinkedIn without manual reuploading?</t>
        </is>
      </c>
      <c r="C46" s="27" t="inlineStr">
        <is>
          <t>Informational</t>
        </is>
      </c>
      <c r="D46" s="27" t="inlineStr">
        <is>
          <t>Reddit Community Thread</t>
        </is>
      </c>
      <c r="E46" s="27" t="inlineStr">
        <is>
          <t>https://www.reddit.com/r/socialmedia</t>
        </is>
      </c>
      <c r="F46" s="27" t="inlineStr">
        <is>
          <t>UK</t>
        </is>
      </c>
      <c r="G46" s="27" t="inlineStr">
        <is>
          <t>&gt;100</t>
        </is>
      </c>
      <c r="H46" s="27" t="inlineStr">
        <is>
          <t>Yes</t>
        </is>
      </c>
      <c r="I46" s="27" t="inlineStr">
        <is>
          <t>https://buffer.com</t>
        </is>
      </c>
      <c r="J46" s="27" t="inlineStr">
        <is>
          <t>No</t>
        </is>
      </c>
      <c r="K46" s="27" t="inlineStr">
        <is>
          <t>No</t>
        </is>
      </c>
      <c r="L46" s="27" t="inlineStr">
        <is>
          <t>No</t>
        </is>
      </c>
      <c r="M46" s="27" t="inlineStr">
        <is>
          <t>No</t>
        </is>
      </c>
      <c r="N46" s="27" t="inlineStr">
        <is>
          <t>Buffer, Later, Hootsuite</t>
        </is>
      </c>
      <c r="O46" s="27" t="inlineStr">
        <is>
          <t>2026-10-23</t>
        </is>
      </c>
      <c r="P46" s="27" t="inlineStr">
        <is>
          <t>2026-10-25</t>
        </is>
      </c>
      <c r="Q46" s="27" t="inlineStr">
        <is>
          <t>No</t>
        </is>
      </c>
      <c r="R46" s="27" t="inlineStr">
        <is>
          <t>https://github.com/saran2006psg/incube-seo/blob/main/visibility/raw_answers/raw_answers_day1_2026-10-23.json</t>
        </is>
      </c>
      <c r="S46" s="27" t="inlineStr">
        <is>
          <t>High</t>
        </is>
      </c>
      <c r="T46" s="27" t="inlineStr">
        <is>
          <t>Verified reproducible across Day 1 and Day 2</t>
        </is>
      </c>
      <c r="U46" s="28">
        <f>IF(A46="","",IF(COUNTIF($B$5:$B$304,B46)&gt;1,"DUPLICATE","UNIQUE"))</f>
        <v/>
      </c>
      <c r="V46" s="28">
        <f>IF(A46="","",IF(AND(B46&lt;&gt;"",C46&lt;&gt;"",D46&lt;&gt;"",E46&lt;&gt;"",F46&lt;&gt;"",G46&lt;&gt;"",H46&lt;&gt;"",J46&lt;&gt;"",K46&lt;&gt;"",L46&lt;&gt;"",M46&lt;&gt;"",O46&lt;&gt;"",P46&lt;&gt;"",R46&lt;&gt;""),"COMPLETE","MISSING FIELDS"))</f>
        <v/>
      </c>
    </row>
    <row r="47" ht="15" customHeight="1" s="15">
      <c r="A47" s="27" t="inlineStr">
        <is>
          <t>Q043</t>
        </is>
      </c>
      <c r="B47" s="27" t="inlineStr">
        <is>
          <t>Can I schedule YouTube Shorts and Instagram Reels from one dashboard?</t>
        </is>
      </c>
      <c r="C47" s="27" t="inlineStr">
        <is>
          <t>Informational</t>
        </is>
      </c>
      <c r="D47" s="27" t="inlineStr">
        <is>
          <t>Google PAA</t>
        </is>
      </c>
      <c r="E47" s="27" t="inlineStr">
        <is>
          <t>https://www.google.com/search?q=Can+I+schedule+YouTube+Shorts+and+Instagram+Reels+from+one+dashboard?</t>
        </is>
      </c>
      <c r="F47" s="27" t="inlineStr">
        <is>
          <t>IN</t>
        </is>
      </c>
      <c r="G47" s="27" t="inlineStr">
        <is>
          <t>&gt;100</t>
        </is>
      </c>
      <c r="H47" s="27" t="inlineStr">
        <is>
          <t>Yes</t>
        </is>
      </c>
      <c r="I47" s="27" t="inlineStr">
        <is>
          <t>https://buffer.com</t>
        </is>
      </c>
      <c r="J47" s="27" t="inlineStr">
        <is>
          <t>No</t>
        </is>
      </c>
      <c r="K47" s="27" t="inlineStr">
        <is>
          <t>No</t>
        </is>
      </c>
      <c r="L47" s="27" t="inlineStr">
        <is>
          <t>No</t>
        </is>
      </c>
      <c r="M47" s="27" t="inlineStr">
        <is>
          <t>No</t>
        </is>
      </c>
      <c r="N47" s="27" t="inlineStr">
        <is>
          <t>Buffer, Later, Hootsuite</t>
        </is>
      </c>
      <c r="O47" s="27" t="inlineStr">
        <is>
          <t>2026-10-23</t>
        </is>
      </c>
      <c r="P47" s="27" t="inlineStr">
        <is>
          <t>2026-10-25</t>
        </is>
      </c>
      <c r="Q47" s="27" t="inlineStr">
        <is>
          <t>No</t>
        </is>
      </c>
      <c r="R47" s="27" t="inlineStr">
        <is>
          <t>https://github.com/saran2006psg/incube-seo/blob/main/visibility/raw_answers/raw_answers_day1_2026-10-23.json</t>
        </is>
      </c>
      <c r="S47" s="27" t="inlineStr">
        <is>
          <t>High</t>
        </is>
      </c>
      <c r="T47" s="27" t="inlineStr">
        <is>
          <t>Verified reproducible across Day 1 and Day 2</t>
        </is>
      </c>
      <c r="U47" s="28">
        <f>IF(A47="","",IF(COUNTIF($B$5:$B$304,B47)&gt;1,"DUPLICATE","UNIQUE"))</f>
        <v/>
      </c>
      <c r="V47" s="28">
        <f>IF(A47="","",IF(AND(B47&lt;&gt;"",C47&lt;&gt;"",D47&lt;&gt;"",E47&lt;&gt;"",F47&lt;&gt;"",G47&lt;&gt;"",H47&lt;&gt;"",J47&lt;&gt;"",K47&lt;&gt;"",L47&lt;&gt;"",M47&lt;&gt;"",O47&lt;&gt;"",P47&lt;&gt;"",R47&lt;&gt;""),"COMPLETE","MISSING FIELDS"))</f>
        <v/>
      </c>
    </row>
    <row r="48" ht="15" customHeight="1" s="15">
      <c r="A48" s="27" t="inlineStr">
        <is>
          <t>Q044</t>
        </is>
      </c>
      <c r="B48" s="27" t="inlineStr">
        <is>
          <t>Best social media management tool with built-in AI video creator</t>
        </is>
      </c>
      <c r="C48" s="27" t="inlineStr">
        <is>
          <t>Commercial Investigation</t>
        </is>
      </c>
      <c r="D48" s="27" t="inlineStr">
        <is>
          <t>Google Search Suggest</t>
        </is>
      </c>
      <c r="E48" s="27" t="inlineStr">
        <is>
          <t>https://suggestqueries.google.com/complete/search</t>
        </is>
      </c>
      <c r="F48" s="27" t="inlineStr">
        <is>
          <t>US</t>
        </is>
      </c>
      <c r="G48" s="27" t="inlineStr">
        <is>
          <t>&gt;100</t>
        </is>
      </c>
      <c r="H48" s="27" t="inlineStr">
        <is>
          <t>Yes</t>
        </is>
      </c>
      <c r="I48" s="27" t="inlineStr">
        <is>
          <t>https://buffer.com</t>
        </is>
      </c>
      <c r="J48" s="27" t="inlineStr">
        <is>
          <t>No</t>
        </is>
      </c>
      <c r="K48" s="27" t="inlineStr">
        <is>
          <t>No</t>
        </is>
      </c>
      <c r="L48" s="27" t="inlineStr">
        <is>
          <t>No</t>
        </is>
      </c>
      <c r="M48" s="27" t="inlineStr">
        <is>
          <t>No</t>
        </is>
      </c>
      <c r="N48" s="27" t="inlineStr">
        <is>
          <t>Buffer, Later, Hootsuite</t>
        </is>
      </c>
      <c r="O48" s="27" t="inlineStr">
        <is>
          <t>2026-10-23</t>
        </is>
      </c>
      <c r="P48" s="27" t="inlineStr">
        <is>
          <t>2026-10-25</t>
        </is>
      </c>
      <c r="Q48" s="27" t="inlineStr">
        <is>
          <t>No</t>
        </is>
      </c>
      <c r="R48" s="27" t="inlineStr">
        <is>
          <t>https://github.com/saran2006psg/incube-seo/blob/main/visibility/raw_answers/raw_answers_day1_2026-10-23.json</t>
        </is>
      </c>
      <c r="S48" s="27" t="inlineStr">
        <is>
          <t>High</t>
        </is>
      </c>
      <c r="T48" s="27" t="inlineStr">
        <is>
          <t>Verified reproducible across Day 1 and Day 2</t>
        </is>
      </c>
      <c r="U48" s="28">
        <f>IF(A48="","",IF(COUNTIF($B$5:$B$304,B48)&gt;1,"DUPLICATE","UNIQUE"))</f>
        <v/>
      </c>
      <c r="V48" s="28">
        <f>IF(A48="","",IF(AND(B48&lt;&gt;"",C48&lt;&gt;"",D48&lt;&gt;"",E48&lt;&gt;"",F48&lt;&gt;"",G48&lt;&gt;"",H48&lt;&gt;"",J48&lt;&gt;"",K48&lt;&gt;"",L48&lt;&gt;"",M48&lt;&gt;"",O48&lt;&gt;"",P48&lt;&gt;"",R48&lt;&gt;""),"COMPLETE","MISSING FIELDS"))</f>
        <v/>
      </c>
    </row>
    <row r="49" ht="15" customHeight="1" s="15">
      <c r="A49" s="27" t="inlineStr">
        <is>
          <t>Q045</t>
        </is>
      </c>
      <c r="B49" s="27" t="inlineStr">
        <is>
          <t>How to avoid shadowban when cross-posting identical videos across social platforms?</t>
        </is>
      </c>
      <c r="C49" s="27" t="inlineStr">
        <is>
          <t>Informational</t>
        </is>
      </c>
      <c r="D49" s="27" t="inlineStr">
        <is>
          <t>Reddit Community Thread</t>
        </is>
      </c>
      <c r="E49" s="27" t="inlineStr">
        <is>
          <t>https://www.reddit.com/r/TikTokHelp</t>
        </is>
      </c>
      <c r="F49" s="27" t="inlineStr">
        <is>
          <t>US</t>
        </is>
      </c>
      <c r="G49" s="27" t="inlineStr">
        <is>
          <t>&gt;100</t>
        </is>
      </c>
      <c r="H49" s="27" t="inlineStr">
        <is>
          <t>Yes</t>
        </is>
      </c>
      <c r="I49" s="27" t="inlineStr">
        <is>
          <t>https://buffer.com</t>
        </is>
      </c>
      <c r="J49" s="27" t="inlineStr">
        <is>
          <t>No</t>
        </is>
      </c>
      <c r="K49" s="27" t="inlineStr">
        <is>
          <t>No</t>
        </is>
      </c>
      <c r="L49" s="27" t="inlineStr">
        <is>
          <t>No</t>
        </is>
      </c>
      <c r="M49" s="27" t="inlineStr">
        <is>
          <t>No</t>
        </is>
      </c>
      <c r="N49" s="27" t="inlineStr">
        <is>
          <t>Buffer, Later, Hootsuite</t>
        </is>
      </c>
      <c r="O49" s="27" t="inlineStr">
        <is>
          <t>2026-10-23</t>
        </is>
      </c>
      <c r="P49" s="27" t="inlineStr">
        <is>
          <t>2026-10-25</t>
        </is>
      </c>
      <c r="Q49" s="27" t="inlineStr">
        <is>
          <t>No</t>
        </is>
      </c>
      <c r="R49" s="27" t="inlineStr">
        <is>
          <t>https://github.com/saran2006psg/incube-seo/blob/main/visibility/raw_answers/raw_answers_day1_2026-10-23.json</t>
        </is>
      </c>
      <c r="S49" s="27" t="inlineStr">
        <is>
          <t>High</t>
        </is>
      </c>
      <c r="T49" s="27" t="inlineStr">
        <is>
          <t>Verified reproducible across Day 1 and Day 2</t>
        </is>
      </c>
      <c r="U49" s="28">
        <f>IF(A49="","",IF(COUNTIF($B$5:$B$304,B49)&gt;1,"DUPLICATE","UNIQUE"))</f>
        <v/>
      </c>
      <c r="V49" s="28">
        <f>IF(A49="","",IF(AND(B49&lt;&gt;"",C49&lt;&gt;"",D49&lt;&gt;"",E49&lt;&gt;"",F49&lt;&gt;"",G49&lt;&gt;"",H49&lt;&gt;"",J49&lt;&gt;"",K49&lt;&gt;"",L49&lt;&gt;"",M49&lt;&gt;"",O49&lt;&gt;"",P49&lt;&gt;"",R49&lt;&gt;""),"COMPLETE","MISSING FIELDS"))</f>
        <v/>
      </c>
    </row>
    <row r="50" ht="15" customHeight="1" s="15">
      <c r="A50" s="27" t="inlineStr">
        <is>
          <t>Q046</t>
        </is>
      </c>
      <c r="B50" s="27" t="inlineStr">
        <is>
          <t>What tool allows direct video publishing to Spotify video podcasts?</t>
        </is>
      </c>
      <c r="C50" s="27" t="inlineStr">
        <is>
          <t>Commercial Investigation</t>
        </is>
      </c>
      <c r="D50" s="27" t="inlineStr">
        <is>
          <t>Google PAA</t>
        </is>
      </c>
      <c r="E50" s="27" t="inlineStr">
        <is>
          <t>https://www.google.com/search?q=What+tool+allows+direct+video+publishing+to+Spotify+video+podcasts?</t>
        </is>
      </c>
      <c r="F50" s="27" t="inlineStr">
        <is>
          <t>UK</t>
        </is>
      </c>
      <c r="G50" s="27" t="inlineStr">
        <is>
          <t>&gt;100</t>
        </is>
      </c>
      <c r="H50" s="27" t="inlineStr">
        <is>
          <t>Yes</t>
        </is>
      </c>
      <c r="I50" s="27" t="inlineStr">
        <is>
          <t>https://buffer.com</t>
        </is>
      </c>
      <c r="J50" s="27" t="inlineStr">
        <is>
          <t>No</t>
        </is>
      </c>
      <c r="K50" s="27" t="inlineStr">
        <is>
          <t>No</t>
        </is>
      </c>
      <c r="L50" s="27" t="inlineStr">
        <is>
          <t>No</t>
        </is>
      </c>
      <c r="M50" s="27" t="inlineStr">
        <is>
          <t>No</t>
        </is>
      </c>
      <c r="N50" s="27" t="inlineStr">
        <is>
          <t>Buffer, Later, Hootsuite</t>
        </is>
      </c>
      <c r="O50" s="27" t="inlineStr">
        <is>
          <t>2026-10-23</t>
        </is>
      </c>
      <c r="P50" s="27" t="inlineStr">
        <is>
          <t>2026-10-25</t>
        </is>
      </c>
      <c r="Q50" s="27" t="inlineStr">
        <is>
          <t>No</t>
        </is>
      </c>
      <c r="R50" s="27" t="inlineStr">
        <is>
          <t>https://github.com/saran2006psg/incube-seo/blob/main/visibility/raw_answers/raw_answers_day1_2026-10-23.json</t>
        </is>
      </c>
      <c r="S50" s="27" t="inlineStr">
        <is>
          <t>High</t>
        </is>
      </c>
      <c r="T50" s="27" t="inlineStr">
        <is>
          <t>Verified reproducible across Day 1 and Day 2</t>
        </is>
      </c>
      <c r="U50" s="28">
        <f>IF(A50="","",IF(COUNTIF($B$5:$B$304,B50)&gt;1,"DUPLICATE","UNIQUE"))</f>
        <v/>
      </c>
      <c r="V50" s="28">
        <f>IF(A50="","",IF(AND(B50&lt;&gt;"",C50&lt;&gt;"",D50&lt;&gt;"",E50&lt;&gt;"",F50&lt;&gt;"",G50&lt;&gt;"",H50&lt;&gt;"",J50&lt;&gt;"",K50&lt;&gt;"",L50&lt;&gt;"",M50&lt;&gt;"",O50&lt;&gt;"",P50&lt;&gt;"",R50&lt;&gt;""),"COMPLETE","MISSING FIELDS"))</f>
        <v/>
      </c>
    </row>
    <row r="51" ht="15" customHeight="1" s="15">
      <c r="A51" s="27" t="inlineStr">
        <is>
          <t>Q047</t>
        </is>
      </c>
      <c r="B51" s="27" t="inlineStr">
        <is>
          <t>How to schedule first comment and hashtags automatically when posting shorts?</t>
        </is>
      </c>
      <c r="C51" s="27" t="inlineStr">
        <is>
          <t>Informational</t>
        </is>
      </c>
      <c r="D51" s="27" t="inlineStr">
        <is>
          <t>Google Search Suggest</t>
        </is>
      </c>
      <c r="E51" s="27" t="inlineStr">
        <is>
          <t>https://suggestqueries.google.com/complete/search</t>
        </is>
      </c>
      <c r="F51" s="27" t="inlineStr">
        <is>
          <t>IN</t>
        </is>
      </c>
      <c r="G51" s="27" t="inlineStr">
        <is>
          <t>&gt;100</t>
        </is>
      </c>
      <c r="H51" s="27" t="inlineStr">
        <is>
          <t>Yes</t>
        </is>
      </c>
      <c r="I51" s="27" t="inlineStr">
        <is>
          <t>https://buffer.com</t>
        </is>
      </c>
      <c r="J51" s="27" t="inlineStr">
        <is>
          <t>No</t>
        </is>
      </c>
      <c r="K51" s="27" t="inlineStr">
        <is>
          <t>No</t>
        </is>
      </c>
      <c r="L51" s="27" t="inlineStr">
        <is>
          <t>No</t>
        </is>
      </c>
      <c r="M51" s="27" t="inlineStr">
        <is>
          <t>No</t>
        </is>
      </c>
      <c r="N51" s="27" t="inlineStr">
        <is>
          <t>Buffer, Later, Hootsuite</t>
        </is>
      </c>
      <c r="O51" s="27" t="inlineStr">
        <is>
          <t>2026-10-23</t>
        </is>
      </c>
      <c r="P51" s="27" t="inlineStr">
        <is>
          <t>2026-10-25</t>
        </is>
      </c>
      <c r="Q51" s="27" t="inlineStr">
        <is>
          <t>No</t>
        </is>
      </c>
      <c r="R51" s="27" t="inlineStr">
        <is>
          <t>https://github.com/saran2006psg/incube-seo/blob/main/visibility/raw_answers/raw_answers_day1_2026-10-23.json</t>
        </is>
      </c>
      <c r="S51" s="27" t="inlineStr">
        <is>
          <t>High</t>
        </is>
      </c>
      <c r="T51" s="27" t="inlineStr">
        <is>
          <t>Verified reproducible across Day 1 and Day 2</t>
        </is>
      </c>
      <c r="U51" s="28">
        <f>IF(A51="","",IF(COUNTIF($B$5:$B$304,B51)&gt;1,"DUPLICATE","UNIQUE"))</f>
        <v/>
      </c>
      <c r="V51" s="28">
        <f>IF(A51="","",IF(AND(B51&lt;&gt;"",C51&lt;&gt;"",D51&lt;&gt;"",E51&lt;&gt;"",F51&lt;&gt;"",G51&lt;&gt;"",H51&lt;&gt;"",J51&lt;&gt;"",K51&lt;&gt;"",L51&lt;&gt;"",M51&lt;&gt;"",O51&lt;&gt;"",P51&lt;&gt;"",R51&lt;&gt;""),"COMPLETE","MISSING FIELDS"))</f>
        <v/>
      </c>
    </row>
    <row r="52" ht="15" customHeight="1" s="15">
      <c r="A52" s="27" t="inlineStr">
        <is>
          <t>Q048</t>
        </is>
      </c>
      <c r="B52" s="27" t="inlineStr">
        <is>
          <t>Best tool for scheduling LinkedIn video posts with custom thumbnails</t>
        </is>
      </c>
      <c r="C52" s="27" t="inlineStr">
        <is>
          <t>Commercial Investigation</t>
        </is>
      </c>
      <c r="D52" s="27" t="inlineStr">
        <is>
          <t>Google Search Suggest</t>
        </is>
      </c>
      <c r="E52" s="27" t="inlineStr">
        <is>
          <t>https://suggestqueries.google.com/complete/search</t>
        </is>
      </c>
      <c r="F52" s="27" t="inlineStr">
        <is>
          <t>US</t>
        </is>
      </c>
      <c r="G52" s="27" t="inlineStr">
        <is>
          <t>&gt;100</t>
        </is>
      </c>
      <c r="H52" s="27" t="inlineStr">
        <is>
          <t>Yes</t>
        </is>
      </c>
      <c r="I52" s="27" t="inlineStr">
        <is>
          <t>https://buffer.com</t>
        </is>
      </c>
      <c r="J52" s="27" t="inlineStr">
        <is>
          <t>No</t>
        </is>
      </c>
      <c r="K52" s="27" t="inlineStr">
        <is>
          <t>No</t>
        </is>
      </c>
      <c r="L52" s="27" t="inlineStr">
        <is>
          <t>No</t>
        </is>
      </c>
      <c r="M52" s="27" t="inlineStr">
        <is>
          <t>No</t>
        </is>
      </c>
      <c r="N52" s="27" t="inlineStr">
        <is>
          <t>Buffer, Later, Hootsuite</t>
        </is>
      </c>
      <c r="O52" s="27" t="inlineStr">
        <is>
          <t>2026-10-23</t>
        </is>
      </c>
      <c r="P52" s="27" t="inlineStr">
        <is>
          <t>2026-10-25</t>
        </is>
      </c>
      <c r="Q52" s="27" t="inlineStr">
        <is>
          <t>No</t>
        </is>
      </c>
      <c r="R52" s="27" t="inlineStr">
        <is>
          <t>https://github.com/saran2006psg/incube-seo/blob/main/visibility/raw_answers/raw_answers_day1_2026-10-23.json</t>
        </is>
      </c>
      <c r="S52" s="27" t="inlineStr">
        <is>
          <t>High</t>
        </is>
      </c>
      <c r="T52" s="27" t="inlineStr">
        <is>
          <t>Verified reproducible across Day 1 and Day 2</t>
        </is>
      </c>
      <c r="U52" s="28">
        <f>IF(A52="","",IF(COUNTIF($B$5:$B$304,B52)&gt;1,"DUPLICATE","UNIQUE"))</f>
        <v/>
      </c>
      <c r="V52" s="28">
        <f>IF(A52="","",IF(AND(B52&lt;&gt;"",C52&lt;&gt;"",D52&lt;&gt;"",E52&lt;&gt;"",F52&lt;&gt;"",G52&lt;&gt;"",H52&lt;&gt;"",J52&lt;&gt;"",K52&lt;&gt;"",L52&lt;&gt;"",M52&lt;&gt;"",O52&lt;&gt;"",P52&lt;&gt;"",R52&lt;&gt;""),"COMPLETE","MISSING FIELDS"))</f>
        <v/>
      </c>
    </row>
    <row r="53" ht="15" customHeight="1" s="15">
      <c r="A53" s="27" t="inlineStr">
        <is>
          <t>Q049</t>
        </is>
      </c>
      <c r="B53" s="27" t="inlineStr">
        <is>
          <t>How to batch schedule a month of video content in one afternoon?</t>
        </is>
      </c>
      <c r="C53" s="27" t="inlineStr">
        <is>
          <t>Informational</t>
        </is>
      </c>
      <c r="D53" s="27" t="inlineStr">
        <is>
          <t>Reddit Community Thread</t>
        </is>
      </c>
      <c r="E53" s="27" t="inlineStr">
        <is>
          <t>https://www.reddit.com/r/ContentCreators</t>
        </is>
      </c>
      <c r="F53" s="27" t="inlineStr">
        <is>
          <t>US</t>
        </is>
      </c>
      <c r="G53" s="27" t="inlineStr">
        <is>
          <t>&gt;100</t>
        </is>
      </c>
      <c r="H53" s="27" t="inlineStr">
        <is>
          <t>Yes</t>
        </is>
      </c>
      <c r="I53" s="27" t="inlineStr">
        <is>
          <t>https://buffer.com</t>
        </is>
      </c>
      <c r="J53" s="27" t="inlineStr">
        <is>
          <t>No</t>
        </is>
      </c>
      <c r="K53" s="27" t="inlineStr">
        <is>
          <t>No</t>
        </is>
      </c>
      <c r="L53" s="27" t="inlineStr">
        <is>
          <t>No</t>
        </is>
      </c>
      <c r="M53" s="27" t="inlineStr">
        <is>
          <t>No</t>
        </is>
      </c>
      <c r="N53" s="27" t="inlineStr">
        <is>
          <t>Buffer, Later, Hootsuite</t>
        </is>
      </c>
      <c r="O53" s="27" t="inlineStr">
        <is>
          <t>2026-10-23</t>
        </is>
      </c>
      <c r="P53" s="27" t="inlineStr">
        <is>
          <t>2026-10-25</t>
        </is>
      </c>
      <c r="Q53" s="27" t="inlineStr">
        <is>
          <t>No</t>
        </is>
      </c>
      <c r="R53" s="27" t="inlineStr">
        <is>
          <t>https://github.com/saran2006psg/incube-seo/blob/main/visibility/raw_answers/raw_answers_day1_2026-10-23.json</t>
        </is>
      </c>
      <c r="S53" s="27" t="inlineStr">
        <is>
          <t>High</t>
        </is>
      </c>
      <c r="T53" s="27" t="inlineStr">
        <is>
          <t>Verified reproducible across Day 1 and Day 2</t>
        </is>
      </c>
      <c r="U53" s="28">
        <f>IF(A53="","",IF(COUNTIF($B$5:$B$304,B53)&gt;1,"DUPLICATE","UNIQUE"))</f>
        <v/>
      </c>
      <c r="V53" s="28">
        <f>IF(A53="","",IF(AND(B53&lt;&gt;"",C53&lt;&gt;"",D53&lt;&gt;"",E53&lt;&gt;"",F53&lt;&gt;"",G53&lt;&gt;"",H53&lt;&gt;"",J53&lt;&gt;"",K53&lt;&gt;"",L53&lt;&gt;"",M53&lt;&gt;"",O53&lt;&gt;"",P53&lt;&gt;"",R53&lt;&gt;""),"COMPLETE","MISSING FIELDS"))</f>
        <v/>
      </c>
    </row>
    <row r="54" ht="15" customHeight="1" s="15">
      <c r="A54" s="27" t="inlineStr">
        <is>
          <t>Q050</t>
        </is>
      </c>
      <c r="B54" s="27" t="inlineStr">
        <is>
          <t>How to train AI on your own writing style for authentic social captions?</t>
        </is>
      </c>
      <c r="C54" s="27" t="inlineStr">
        <is>
          <t>Informational</t>
        </is>
      </c>
      <c r="D54" s="27" t="inlineStr">
        <is>
          <t>Google Search Suggest</t>
        </is>
      </c>
      <c r="E54" s="27" t="inlineStr">
        <is>
          <t>https://suggestqueries.google.com/complete/search</t>
        </is>
      </c>
      <c r="F54" s="27" t="inlineStr">
        <is>
          <t>US</t>
        </is>
      </c>
      <c r="G54" s="27" t="inlineStr">
        <is>
          <t>&gt;100</t>
        </is>
      </c>
      <c r="H54" s="27" t="inlineStr">
        <is>
          <t>Yes</t>
        </is>
      </c>
      <c r="I54" s="27" t="inlineStr">
        <is>
          <t>https://elevenlabs.io</t>
        </is>
      </c>
      <c r="J54" s="27" t="inlineStr">
        <is>
          <t>No</t>
        </is>
      </c>
      <c r="K54" s="27" t="inlineStr">
        <is>
          <t>No</t>
        </is>
      </c>
      <c r="L54" s="27" t="inlineStr">
        <is>
          <t>No</t>
        </is>
      </c>
      <c r="M54" s="27" t="inlineStr">
        <is>
          <t>No</t>
        </is>
      </c>
      <c r="N54" s="27" t="inlineStr">
        <is>
          <t>ElevenLabs, Tugan.ai, Copy.ai</t>
        </is>
      </c>
      <c r="O54" s="27" t="inlineStr">
        <is>
          <t>2026-10-23</t>
        </is>
      </c>
      <c r="P54" s="27" t="inlineStr">
        <is>
          <t>2026-10-25</t>
        </is>
      </c>
      <c r="Q54" s="27" t="inlineStr">
        <is>
          <t>No</t>
        </is>
      </c>
      <c r="R54" s="27" t="inlineStr">
        <is>
          <t>https://github.com/saran2006psg/incube-seo/blob/main/visibility/raw_answers/raw_answers_day1_2026-10-23.json</t>
        </is>
      </c>
      <c r="S54" s="27" t="inlineStr">
        <is>
          <t>High</t>
        </is>
      </c>
      <c r="T54" s="27" t="inlineStr">
        <is>
          <t>Verified reproducible across Day 1 and Day 2</t>
        </is>
      </c>
      <c r="U54" s="28">
        <f>IF(A54="","",IF(COUNTIF($B$5:$B$304,B54)&gt;1,"DUPLICATE","UNIQUE"))</f>
        <v/>
      </c>
      <c r="V54" s="28">
        <f>IF(A54="","",IF(AND(B54&lt;&gt;"",C54&lt;&gt;"",D54&lt;&gt;"",E54&lt;&gt;"",F54&lt;&gt;"",G54&lt;&gt;"",H54&lt;&gt;"",J54&lt;&gt;"",K54&lt;&gt;"",L54&lt;&gt;"",M54&lt;&gt;"",O54&lt;&gt;"",P54&lt;&gt;"",R54&lt;&gt;""),"COMPLETE","MISSING FIELDS"))</f>
        <v/>
      </c>
    </row>
    <row r="55" ht="15" customHeight="1" s="15">
      <c r="A55" s="27" t="inlineStr">
        <is>
          <t>Q051</t>
        </is>
      </c>
      <c r="B55" s="27" t="inlineStr">
        <is>
          <t>Best AI voice cloning tools for creator narration and voiceovers</t>
        </is>
      </c>
      <c r="C55" s="27" t="inlineStr">
        <is>
          <t>Commercial Investigation</t>
        </is>
      </c>
      <c r="D55" s="27" t="inlineStr">
        <is>
          <t>Google Search Suggest</t>
        </is>
      </c>
      <c r="E55" s="27" t="inlineStr">
        <is>
          <t>https://suggestqueries.google.com/complete/search</t>
        </is>
      </c>
      <c r="F55" s="27" t="inlineStr">
        <is>
          <t>US</t>
        </is>
      </c>
      <c r="G55" s="27" t="inlineStr">
        <is>
          <t>&gt;100</t>
        </is>
      </c>
      <c r="H55" s="27" t="inlineStr">
        <is>
          <t>Yes</t>
        </is>
      </c>
      <c r="I55" s="27" t="inlineStr">
        <is>
          <t>https://elevenlabs.io</t>
        </is>
      </c>
      <c r="J55" s="27" t="inlineStr">
        <is>
          <t>No</t>
        </is>
      </c>
      <c r="K55" s="27" t="inlineStr">
        <is>
          <t>No</t>
        </is>
      </c>
      <c r="L55" s="27" t="inlineStr">
        <is>
          <t>No</t>
        </is>
      </c>
      <c r="M55" s="27" t="inlineStr">
        <is>
          <t>No</t>
        </is>
      </c>
      <c r="N55" s="27" t="inlineStr">
        <is>
          <t>ElevenLabs, Tugan.ai, Copy.ai</t>
        </is>
      </c>
      <c r="O55" s="27" t="inlineStr">
        <is>
          <t>2026-10-23</t>
        </is>
      </c>
      <c r="P55" s="27" t="inlineStr">
        <is>
          <t>2026-10-25</t>
        </is>
      </c>
      <c r="Q55" s="27" t="inlineStr">
        <is>
          <t>No</t>
        </is>
      </c>
      <c r="R55" s="27" t="inlineStr">
        <is>
          <t>https://github.com/saran2006psg/incube-seo/blob/main/visibility/raw_answers/raw_answers_day1_2026-10-23.json</t>
        </is>
      </c>
      <c r="S55" s="27" t="inlineStr">
        <is>
          <t>High</t>
        </is>
      </c>
      <c r="T55" s="27" t="inlineStr">
        <is>
          <t>Verified reproducible across Day 1 and Day 2</t>
        </is>
      </c>
      <c r="U55" s="28">
        <f>IF(A55="","",IF(COUNTIF($B$5:$B$304,B55)&gt;1,"DUPLICATE","UNIQUE"))</f>
        <v/>
      </c>
      <c r="V55" s="28">
        <f>IF(A55="","",IF(AND(B55&lt;&gt;"",C55&lt;&gt;"",D55&lt;&gt;"",E55&lt;&gt;"",F55&lt;&gt;"",G55&lt;&gt;"",H55&lt;&gt;"",J55&lt;&gt;"",K55&lt;&gt;"",L55&lt;&gt;"",M55&lt;&gt;"",O55&lt;&gt;"",P55&lt;&gt;"",R55&lt;&gt;""),"COMPLETE","MISSING FIELDS"))</f>
        <v/>
      </c>
    </row>
    <row r="56" ht="15" customHeight="1" s="15">
      <c r="A56" s="27" t="inlineStr">
        <is>
          <t>Q052</t>
        </is>
      </c>
      <c r="B56" s="27" t="inlineStr">
        <is>
          <t>Can AI write YouTube video hooks that increase retention?</t>
        </is>
      </c>
      <c r="C56" s="27" t="inlineStr">
        <is>
          <t>Informational</t>
        </is>
      </c>
      <c r="D56" s="27" t="inlineStr">
        <is>
          <t>Reddit Community Thread</t>
        </is>
      </c>
      <c r="E56" s="27" t="inlineStr">
        <is>
          <t>https://www.reddit.com/r/NewTubers</t>
        </is>
      </c>
      <c r="F56" s="27" t="inlineStr">
        <is>
          <t>UK</t>
        </is>
      </c>
      <c r="G56" s="27" t="inlineStr">
        <is>
          <t>&gt;100</t>
        </is>
      </c>
      <c r="H56" s="27" t="inlineStr">
        <is>
          <t>Yes</t>
        </is>
      </c>
      <c r="I56" s="27" t="inlineStr">
        <is>
          <t>https://elevenlabs.io</t>
        </is>
      </c>
      <c r="J56" s="27" t="inlineStr">
        <is>
          <t>No</t>
        </is>
      </c>
      <c r="K56" s="27" t="inlineStr">
        <is>
          <t>No</t>
        </is>
      </c>
      <c r="L56" s="27" t="inlineStr">
        <is>
          <t>No</t>
        </is>
      </c>
      <c r="M56" s="27" t="inlineStr">
        <is>
          <t>No</t>
        </is>
      </c>
      <c r="N56" s="27" t="inlineStr">
        <is>
          <t>ElevenLabs, Tugan.ai, Copy.ai</t>
        </is>
      </c>
      <c r="O56" s="27" t="inlineStr">
        <is>
          <t>2026-10-23</t>
        </is>
      </c>
      <c r="P56" s="27" t="inlineStr">
        <is>
          <t>2026-10-25</t>
        </is>
      </c>
      <c r="Q56" s="27" t="inlineStr">
        <is>
          <t>No</t>
        </is>
      </c>
      <c r="R56" s="27" t="inlineStr">
        <is>
          <t>https://github.com/saran2006psg/incube-seo/blob/main/visibility/raw_answers/raw_answers_day1_2026-10-23.json</t>
        </is>
      </c>
      <c r="S56" s="27" t="inlineStr">
        <is>
          <t>High</t>
        </is>
      </c>
      <c r="T56" s="27" t="inlineStr">
        <is>
          <t>Verified reproducible across Day 1 and Day 2</t>
        </is>
      </c>
      <c r="U56" s="28">
        <f>IF(A56="","",IF(COUNTIF($B$5:$B$304,B56)&gt;1,"DUPLICATE","UNIQUE"))</f>
        <v/>
      </c>
      <c r="V56" s="28">
        <f>IF(A56="","",IF(AND(B56&lt;&gt;"",C56&lt;&gt;"",D56&lt;&gt;"",E56&lt;&gt;"",F56&lt;&gt;"",G56&lt;&gt;"",H56&lt;&gt;"",J56&lt;&gt;"",K56&lt;&gt;"",L56&lt;&gt;"",M56&lt;&gt;"",O56&lt;&gt;"",P56&lt;&gt;"",R56&lt;&gt;""),"COMPLETE","MISSING FIELDS"))</f>
        <v/>
      </c>
    </row>
    <row r="57" ht="15" customHeight="1" s="15">
      <c r="A57" s="27" t="inlineStr">
        <is>
          <t>Q053</t>
        </is>
      </c>
      <c r="B57" s="27" t="inlineStr">
        <is>
          <t>How to generate realistic voiceovers from text without sounding robotic?</t>
        </is>
      </c>
      <c r="C57" s="27" t="inlineStr">
        <is>
          <t>Informational</t>
        </is>
      </c>
      <c r="D57" s="27" t="inlineStr">
        <is>
          <t>Google PAA</t>
        </is>
      </c>
      <c r="E57" s="27" t="inlineStr">
        <is>
          <t>https://www.google.com/search?q=How+to+generate+realistic+voiceovers+from+text+without+sounding+robotic?</t>
        </is>
      </c>
      <c r="F57" s="27" t="inlineStr">
        <is>
          <t>IN</t>
        </is>
      </c>
      <c r="G57" s="27" t="inlineStr">
        <is>
          <t>&gt;100</t>
        </is>
      </c>
      <c r="H57" s="27" t="inlineStr">
        <is>
          <t>Yes</t>
        </is>
      </c>
      <c r="I57" s="27" t="inlineStr">
        <is>
          <t>https://elevenlabs.io</t>
        </is>
      </c>
      <c r="J57" s="27" t="inlineStr">
        <is>
          <t>No</t>
        </is>
      </c>
      <c r="K57" s="27" t="inlineStr">
        <is>
          <t>No</t>
        </is>
      </c>
      <c r="L57" s="27" t="inlineStr">
        <is>
          <t>No</t>
        </is>
      </c>
      <c r="M57" s="27" t="inlineStr">
        <is>
          <t>No</t>
        </is>
      </c>
      <c r="N57" s="27" t="inlineStr">
        <is>
          <t>ElevenLabs, Tugan.ai, Copy.ai</t>
        </is>
      </c>
      <c r="O57" s="27" t="inlineStr">
        <is>
          <t>2026-10-23</t>
        </is>
      </c>
      <c r="P57" s="27" t="inlineStr">
        <is>
          <t>2026-10-25</t>
        </is>
      </c>
      <c r="Q57" s="27" t="inlineStr">
        <is>
          <t>No</t>
        </is>
      </c>
      <c r="R57" s="27" t="inlineStr">
        <is>
          <t>https://github.com/saran2006psg/incube-seo/blob/main/visibility/raw_answers/raw_answers_day1_2026-10-23.json</t>
        </is>
      </c>
      <c r="S57" s="27" t="inlineStr">
        <is>
          <t>High</t>
        </is>
      </c>
      <c r="T57" s="27" t="inlineStr">
        <is>
          <t>Verified reproducible across Day 1 and Day 2</t>
        </is>
      </c>
      <c r="U57" s="28">
        <f>IF(A57="","",IF(COUNTIF($B$5:$B$304,B57)&gt;1,"DUPLICATE","UNIQUE"))</f>
        <v/>
      </c>
      <c r="V57" s="28">
        <f>IF(A57="","",IF(AND(B57&lt;&gt;"",C57&lt;&gt;"",D57&lt;&gt;"",E57&lt;&gt;"",F57&lt;&gt;"",G57&lt;&gt;"",H57&lt;&gt;"",J57&lt;&gt;"",K57&lt;&gt;"",L57&lt;&gt;"",M57&lt;&gt;"",O57&lt;&gt;"",P57&lt;&gt;"",R57&lt;&gt;""),"COMPLETE","MISSING FIELDS"))</f>
        <v/>
      </c>
    </row>
    <row r="58" ht="15" customHeight="1" s="15">
      <c r="A58" s="27" t="inlineStr">
        <is>
          <t>Q054</t>
        </is>
      </c>
      <c r="B58" s="27" t="inlineStr">
        <is>
          <t>Best AI tool for generating viral hooks and video titles</t>
        </is>
      </c>
      <c r="C58" s="27" t="inlineStr">
        <is>
          <t>Commercial Investigation</t>
        </is>
      </c>
      <c r="D58" s="27" t="inlineStr">
        <is>
          <t>Google Search Suggest</t>
        </is>
      </c>
      <c r="E58" s="27" t="inlineStr">
        <is>
          <t>https://suggestqueries.google.com/complete/search</t>
        </is>
      </c>
      <c r="F58" s="27" t="inlineStr">
        <is>
          <t>US</t>
        </is>
      </c>
      <c r="G58" s="27" t="inlineStr">
        <is>
          <t>&gt;100</t>
        </is>
      </c>
      <c r="H58" s="27" t="inlineStr">
        <is>
          <t>Yes</t>
        </is>
      </c>
      <c r="I58" s="27" t="inlineStr">
        <is>
          <t>https://elevenlabs.io</t>
        </is>
      </c>
      <c r="J58" s="27" t="inlineStr">
        <is>
          <t>No</t>
        </is>
      </c>
      <c r="K58" s="27" t="inlineStr">
        <is>
          <t>No</t>
        </is>
      </c>
      <c r="L58" s="27" t="inlineStr">
        <is>
          <t>No</t>
        </is>
      </c>
      <c r="M58" s="27" t="inlineStr">
        <is>
          <t>No</t>
        </is>
      </c>
      <c r="N58" s="27" t="inlineStr">
        <is>
          <t>ElevenLabs, Tugan.ai, Copy.ai</t>
        </is>
      </c>
      <c r="O58" s="27" t="inlineStr">
        <is>
          <t>2026-10-23</t>
        </is>
      </c>
      <c r="P58" s="27" t="inlineStr">
        <is>
          <t>2026-10-25</t>
        </is>
      </c>
      <c r="Q58" s="27" t="inlineStr">
        <is>
          <t>No</t>
        </is>
      </c>
      <c r="R58" s="27" t="inlineStr">
        <is>
          <t>https://github.com/saran2006psg/incube-seo/blob/main/visibility/raw_answers/raw_answers_day1_2026-10-23.json</t>
        </is>
      </c>
      <c r="S58" s="27" t="inlineStr">
        <is>
          <t>High</t>
        </is>
      </c>
      <c r="T58" s="27" t="inlineStr">
        <is>
          <t>Verified reproducible across Day 1 and Day 2</t>
        </is>
      </c>
      <c r="U58" s="28">
        <f>IF(A58="","",IF(COUNTIF($B$5:$B$304,B58)&gt;1,"DUPLICATE","UNIQUE"))</f>
        <v/>
      </c>
      <c r="V58" s="28">
        <f>IF(A58="","",IF(AND(B58&lt;&gt;"",C58&lt;&gt;"",D58&lt;&gt;"",E58&lt;&gt;"",F58&lt;&gt;"",G58&lt;&gt;"",H58&lt;&gt;"",J58&lt;&gt;"",K58&lt;&gt;"",L58&lt;&gt;"",M58&lt;&gt;"",O58&lt;&gt;"",P58&lt;&gt;"",R58&lt;&gt;""),"COMPLETE","MISSING FIELDS"))</f>
        <v/>
      </c>
    </row>
    <row r="59" ht="15" customHeight="1" s="15">
      <c r="A59" s="27" t="inlineStr">
        <is>
          <t>Q055</t>
        </is>
      </c>
      <c r="B59" s="27" t="inlineStr">
        <is>
          <t>How do top creators use AI without making content feel cheap or automated?</t>
        </is>
      </c>
      <c r="C59" s="27" t="inlineStr">
        <is>
          <t>Informational</t>
        </is>
      </c>
      <c r="D59" s="27" t="inlineStr">
        <is>
          <t>Reddit Community Thread</t>
        </is>
      </c>
      <c r="E59" s="27" t="inlineStr">
        <is>
          <t>https://www.reddit.com/r/CreatorEconomy</t>
        </is>
      </c>
      <c r="F59" s="27" t="inlineStr">
        <is>
          <t>US</t>
        </is>
      </c>
      <c r="G59" s="27" t="inlineStr">
        <is>
          <t>&gt;100</t>
        </is>
      </c>
      <c r="H59" s="27" t="inlineStr">
        <is>
          <t>Yes</t>
        </is>
      </c>
      <c r="I59" s="27" t="inlineStr">
        <is>
          <t>https://elevenlabs.io</t>
        </is>
      </c>
      <c r="J59" s="27" t="inlineStr">
        <is>
          <t>No</t>
        </is>
      </c>
      <c r="K59" s="27" t="inlineStr">
        <is>
          <t>No</t>
        </is>
      </c>
      <c r="L59" s="27" t="inlineStr">
        <is>
          <t>No</t>
        </is>
      </c>
      <c r="M59" s="27" t="inlineStr">
        <is>
          <t>No</t>
        </is>
      </c>
      <c r="N59" s="27" t="inlineStr">
        <is>
          <t>ElevenLabs, Tugan.ai, Copy.ai</t>
        </is>
      </c>
      <c r="O59" s="27" t="inlineStr">
        <is>
          <t>2026-10-23</t>
        </is>
      </c>
      <c r="P59" s="27" t="inlineStr">
        <is>
          <t>2026-10-25</t>
        </is>
      </c>
      <c r="Q59" s="27" t="inlineStr">
        <is>
          <t>No</t>
        </is>
      </c>
      <c r="R59" s="27" t="inlineStr">
        <is>
          <t>https://github.com/saran2006psg/incube-seo/blob/main/visibility/raw_answers/raw_answers_day1_2026-10-23.json</t>
        </is>
      </c>
      <c r="S59" s="27" t="inlineStr">
        <is>
          <t>High</t>
        </is>
      </c>
      <c r="T59" s="27" t="inlineStr">
        <is>
          <t>Verified reproducible across Day 1 and Day 2</t>
        </is>
      </c>
      <c r="U59" s="28">
        <f>IF(A59="","",IF(COUNTIF($B$5:$B$304,B59)&gt;1,"DUPLICATE","UNIQUE"))</f>
        <v/>
      </c>
      <c r="V59" s="28">
        <f>IF(A59="","",IF(AND(B59&lt;&gt;"",C59&lt;&gt;"",D59&lt;&gt;"",E59&lt;&gt;"",F59&lt;&gt;"",G59&lt;&gt;"",H59&lt;&gt;"",J59&lt;&gt;"",K59&lt;&gt;"",L59&lt;&gt;"",M59&lt;&gt;"",O59&lt;&gt;"",P59&lt;&gt;"",R59&lt;&gt;""),"COMPLETE","MISSING FIELDS"))</f>
        <v/>
      </c>
    </row>
    <row r="60" ht="15" customHeight="1" s="15">
      <c r="A60" s="27" t="inlineStr">
        <is>
          <t>Q056</t>
        </is>
      </c>
      <c r="B60" s="27" t="inlineStr">
        <is>
          <t>Can AI generate complete podcast outlines and interview questions?</t>
        </is>
      </c>
      <c r="C60" s="27" t="inlineStr">
        <is>
          <t>Informational</t>
        </is>
      </c>
      <c r="D60" s="27" t="inlineStr">
        <is>
          <t>Google PAA</t>
        </is>
      </c>
      <c r="E60" s="27" t="inlineStr">
        <is>
          <t>https://www.google.com/search?q=Can+AI+generate+complete+podcast+outlines+and+interview+questions?</t>
        </is>
      </c>
      <c r="F60" s="27" t="inlineStr">
        <is>
          <t>UK</t>
        </is>
      </c>
      <c r="G60" s="27" t="inlineStr">
        <is>
          <t>&gt;100</t>
        </is>
      </c>
      <c r="H60" s="27" t="inlineStr">
        <is>
          <t>Yes</t>
        </is>
      </c>
      <c r="I60" s="27" t="inlineStr">
        <is>
          <t>https://elevenlabs.io</t>
        </is>
      </c>
      <c r="J60" s="27" t="inlineStr">
        <is>
          <t>No</t>
        </is>
      </c>
      <c r="K60" s="27" t="inlineStr">
        <is>
          <t>No</t>
        </is>
      </c>
      <c r="L60" s="27" t="inlineStr">
        <is>
          <t>No</t>
        </is>
      </c>
      <c r="M60" s="27" t="inlineStr">
        <is>
          <t>No</t>
        </is>
      </c>
      <c r="N60" s="27" t="inlineStr">
        <is>
          <t>ElevenLabs, Tugan.ai, Copy.ai</t>
        </is>
      </c>
      <c r="O60" s="27" t="inlineStr">
        <is>
          <t>2026-10-23</t>
        </is>
      </c>
      <c r="P60" s="27" t="inlineStr">
        <is>
          <t>2026-10-25</t>
        </is>
      </c>
      <c r="Q60" s="27" t="inlineStr">
        <is>
          <t>No</t>
        </is>
      </c>
      <c r="R60" s="27" t="inlineStr">
        <is>
          <t>https://github.com/saran2006psg/incube-seo/blob/main/visibility/raw_answers/raw_answers_day1_2026-10-23.json</t>
        </is>
      </c>
      <c r="S60" s="27" t="inlineStr">
        <is>
          <t>High</t>
        </is>
      </c>
      <c r="T60" s="27" t="inlineStr">
        <is>
          <t>Verified reproducible across Day 1 and Day 2</t>
        </is>
      </c>
      <c r="U60" s="28">
        <f>IF(A60="","",IF(COUNTIF($B$5:$B$304,B60)&gt;1,"DUPLICATE","UNIQUE"))</f>
        <v/>
      </c>
      <c r="V60" s="28">
        <f>IF(A60="","",IF(AND(B60&lt;&gt;"",C60&lt;&gt;"",D60&lt;&gt;"",E60&lt;&gt;"",F60&lt;&gt;"",G60&lt;&gt;"",H60&lt;&gt;"",J60&lt;&gt;"",K60&lt;&gt;"",L60&lt;&gt;"",M60&lt;&gt;"",O60&lt;&gt;"",P60&lt;&gt;"",R60&lt;&gt;""),"COMPLETE","MISSING FIELDS"))</f>
        <v/>
      </c>
    </row>
    <row r="61" ht="15" customHeight="1" s="15">
      <c r="A61" s="27" t="inlineStr">
        <is>
          <t>Q057</t>
        </is>
      </c>
      <c r="B61" s="27" t="inlineStr">
        <is>
          <t>How to turn a rough brain dump or voice memo into polished LinkedIn post?</t>
        </is>
      </c>
      <c r="C61" s="27" t="inlineStr">
        <is>
          <t>Informational</t>
        </is>
      </c>
      <c r="D61" s="27" t="inlineStr">
        <is>
          <t>Reddit Community Thread</t>
        </is>
      </c>
      <c r="E61" s="27" t="inlineStr">
        <is>
          <t>https://www.reddit.com/r/LinkedInMarketing</t>
        </is>
      </c>
      <c r="F61" s="27" t="inlineStr">
        <is>
          <t>US</t>
        </is>
      </c>
      <c r="G61" s="27" t="inlineStr">
        <is>
          <t>&gt;100</t>
        </is>
      </c>
      <c r="H61" s="27" t="inlineStr">
        <is>
          <t>Yes</t>
        </is>
      </c>
      <c r="I61" s="27" t="inlineStr">
        <is>
          <t>https://elevenlabs.io</t>
        </is>
      </c>
      <c r="J61" s="27" t="inlineStr">
        <is>
          <t>No</t>
        </is>
      </c>
      <c r="K61" s="27" t="inlineStr">
        <is>
          <t>No</t>
        </is>
      </c>
      <c r="L61" s="27" t="inlineStr">
        <is>
          <t>No</t>
        </is>
      </c>
      <c r="M61" s="27" t="inlineStr">
        <is>
          <t>No</t>
        </is>
      </c>
      <c r="N61" s="27" t="inlineStr">
        <is>
          <t>ElevenLabs, Tugan.ai, Copy.ai</t>
        </is>
      </c>
      <c r="O61" s="27" t="inlineStr">
        <is>
          <t>2026-10-23</t>
        </is>
      </c>
      <c r="P61" s="27" t="inlineStr">
        <is>
          <t>2026-10-25</t>
        </is>
      </c>
      <c r="Q61" s="27" t="inlineStr">
        <is>
          <t>No</t>
        </is>
      </c>
      <c r="R61" s="27" t="inlineStr">
        <is>
          <t>https://github.com/saran2006psg/incube-seo/blob/main/visibility/raw_answers/raw_answers_day1_2026-10-23.json</t>
        </is>
      </c>
      <c r="S61" s="27" t="inlineStr">
        <is>
          <t>High</t>
        </is>
      </c>
      <c r="T61" s="27" t="inlineStr">
        <is>
          <t>Verified reproducible across Day 1 and Day 2</t>
        </is>
      </c>
      <c r="U61" s="28">
        <f>IF(A61="","",IF(COUNTIF($B$5:$B$304,B61)&gt;1,"DUPLICATE","UNIQUE"))</f>
        <v/>
      </c>
      <c r="V61" s="28">
        <f>IF(A61="","",IF(AND(B61&lt;&gt;"",C61&lt;&gt;"",D61&lt;&gt;"",E61&lt;&gt;"",F61&lt;&gt;"",G61&lt;&gt;"",H61&lt;&gt;"",J61&lt;&gt;"",K61&lt;&gt;"",L61&lt;&gt;"",M61&lt;&gt;"",O61&lt;&gt;"",P61&lt;&gt;"",R61&lt;&gt;""),"COMPLETE","MISSING FIELDS"))</f>
        <v/>
      </c>
    </row>
    <row r="62" ht="15" customHeight="1" s="15">
      <c r="A62" s="27" t="inlineStr">
        <is>
          <t>Q058</t>
        </is>
      </c>
      <c r="B62" s="27" t="inlineStr">
        <is>
          <t>Best tool for creating faceless YouTube videos with AI voice and b-roll</t>
        </is>
      </c>
      <c r="C62" s="27" t="inlineStr">
        <is>
          <t>Commercial Investigation</t>
        </is>
      </c>
      <c r="D62" s="27" t="inlineStr">
        <is>
          <t>Google Search Suggest</t>
        </is>
      </c>
      <c r="E62" s="27" t="inlineStr">
        <is>
          <t>https://suggestqueries.google.com/complete/search</t>
        </is>
      </c>
      <c r="F62" s="27" t="inlineStr">
        <is>
          <t>IN</t>
        </is>
      </c>
      <c r="G62" s="27" t="inlineStr">
        <is>
          <t>&gt;100</t>
        </is>
      </c>
      <c r="H62" s="27" t="inlineStr">
        <is>
          <t>Yes</t>
        </is>
      </c>
      <c r="I62" s="27" t="inlineStr">
        <is>
          <t>https://elevenlabs.io</t>
        </is>
      </c>
      <c r="J62" s="27" t="inlineStr">
        <is>
          <t>No</t>
        </is>
      </c>
      <c r="K62" s="27" t="inlineStr">
        <is>
          <t>No</t>
        </is>
      </c>
      <c r="L62" s="27" t="inlineStr">
        <is>
          <t>No</t>
        </is>
      </c>
      <c r="M62" s="27" t="inlineStr">
        <is>
          <t>No</t>
        </is>
      </c>
      <c r="N62" s="27" t="inlineStr">
        <is>
          <t>ElevenLabs, Tugan.ai, Copy.ai</t>
        </is>
      </c>
      <c r="O62" s="27" t="inlineStr">
        <is>
          <t>2026-10-23</t>
        </is>
      </c>
      <c r="P62" s="27" t="inlineStr">
        <is>
          <t>2026-10-25</t>
        </is>
      </c>
      <c r="Q62" s="27" t="inlineStr">
        <is>
          <t>No</t>
        </is>
      </c>
      <c r="R62" s="27" t="inlineStr">
        <is>
          <t>https://github.com/saran2006psg/incube-seo/blob/main/visibility/raw_answers/raw_answers_day1_2026-10-23.json</t>
        </is>
      </c>
      <c r="S62" s="27" t="inlineStr">
        <is>
          <t>High</t>
        </is>
      </c>
      <c r="T62" s="27" t="inlineStr">
        <is>
          <t>Verified reproducible across Day 1 and Day 2</t>
        </is>
      </c>
      <c r="U62" s="28">
        <f>IF(A62="","",IF(COUNTIF($B$5:$B$304,B62)&gt;1,"DUPLICATE","UNIQUE"))</f>
        <v/>
      </c>
      <c r="V62" s="28">
        <f>IF(A62="","",IF(AND(B62&lt;&gt;"",C62&lt;&gt;"",D62&lt;&gt;"",E62&lt;&gt;"",F62&lt;&gt;"",G62&lt;&gt;"",H62&lt;&gt;"",J62&lt;&gt;"",K62&lt;&gt;"",L62&lt;&gt;"",M62&lt;&gt;"",O62&lt;&gt;"",P62&lt;&gt;"",R62&lt;&gt;""),"COMPLETE","MISSING FIELDS"))</f>
        <v/>
      </c>
    </row>
    <row r="63" ht="15" customHeight="1" s="15">
      <c r="A63" s="27" t="inlineStr">
        <is>
          <t>Q059</t>
        </is>
      </c>
      <c r="B63" s="27" t="inlineStr">
        <is>
          <t>How to clone your own voice for quick audio fixes in video podcasts?</t>
        </is>
      </c>
      <c r="C63" s="27" t="inlineStr">
        <is>
          <t>Informational</t>
        </is>
      </c>
      <c r="D63" s="27" t="inlineStr">
        <is>
          <t>Google PAA</t>
        </is>
      </c>
      <c r="E63" s="27" t="inlineStr">
        <is>
          <t>https://www.google.com/search?q=How+to+clone+your+own+voice+for+quick+audio+fixes+in+video+podcasts?</t>
        </is>
      </c>
      <c r="F63" s="27" t="inlineStr">
        <is>
          <t>US</t>
        </is>
      </c>
      <c r="G63" s="27" t="inlineStr">
        <is>
          <t>&gt;100</t>
        </is>
      </c>
      <c r="H63" s="27" t="inlineStr">
        <is>
          <t>Yes</t>
        </is>
      </c>
      <c r="I63" s="27" t="inlineStr">
        <is>
          <t>https://elevenlabs.io</t>
        </is>
      </c>
      <c r="J63" s="27" t="inlineStr">
        <is>
          <t>No</t>
        </is>
      </c>
      <c r="K63" s="27" t="inlineStr">
        <is>
          <t>No</t>
        </is>
      </c>
      <c r="L63" s="27" t="inlineStr">
        <is>
          <t>No</t>
        </is>
      </c>
      <c r="M63" s="27" t="inlineStr">
        <is>
          <t>No</t>
        </is>
      </c>
      <c r="N63" s="27" t="inlineStr">
        <is>
          <t>ElevenLabs, Tugan.ai, Copy.ai</t>
        </is>
      </c>
      <c r="O63" s="27" t="inlineStr">
        <is>
          <t>2026-10-23</t>
        </is>
      </c>
      <c r="P63" s="27" t="inlineStr">
        <is>
          <t>2026-10-25</t>
        </is>
      </c>
      <c r="Q63" s="27" t="inlineStr">
        <is>
          <t>No</t>
        </is>
      </c>
      <c r="R63" s="27" t="inlineStr">
        <is>
          <t>https://github.com/saran2006psg/incube-seo/blob/main/visibility/raw_answers/raw_answers_day1_2026-10-23.json</t>
        </is>
      </c>
      <c r="S63" s="27" t="inlineStr">
        <is>
          <t>High</t>
        </is>
      </c>
      <c r="T63" s="27" t="inlineStr">
        <is>
          <t>Verified reproducible across Day 1 and Day 2</t>
        </is>
      </c>
      <c r="U63" s="28">
        <f>IF(A63="","",IF(COUNTIF($B$5:$B$304,B63)&gt;1,"DUPLICATE","UNIQUE"))</f>
        <v/>
      </c>
      <c r="V63" s="28">
        <f>IF(A63="","",IF(AND(B63&lt;&gt;"",C63&lt;&gt;"",D63&lt;&gt;"",E63&lt;&gt;"",F63&lt;&gt;"",G63&lt;&gt;"",H63&lt;&gt;"",J63&lt;&gt;"",K63&lt;&gt;"",L63&lt;&gt;"",M63&lt;&gt;"",O63&lt;&gt;"",P63&lt;&gt;"",R63&lt;&gt;""),"COMPLETE","MISSING FIELDS"))</f>
        <v/>
      </c>
    </row>
    <row r="64" ht="15" customHeight="1" s="15">
      <c r="A64" s="27" t="inlineStr">
        <is>
          <t>Q060</t>
        </is>
      </c>
      <c r="B64" s="27" t="inlineStr">
        <is>
          <t>What is CreatorOps and how do creators organize their content pipeline?</t>
        </is>
      </c>
      <c r="C64" s="27" t="inlineStr">
        <is>
          <t>Informational</t>
        </is>
      </c>
      <c r="D64" s="27" t="inlineStr">
        <is>
          <t>Google PAA</t>
        </is>
      </c>
      <c r="E64" s="27" t="inlineStr">
        <is>
          <t>https://www.google.com/search?q=What+is+CreatorOps+and+how+do+creators+organize+their+content+pipeline?</t>
        </is>
      </c>
      <c r="F64" s="27" t="inlineStr">
        <is>
          <t>US</t>
        </is>
      </c>
      <c r="G64" s="27" t="inlineStr">
        <is>
          <t>&gt;100</t>
        </is>
      </c>
      <c r="H64" s="27" t="inlineStr">
        <is>
          <t>Yes</t>
        </is>
      </c>
      <c r="I64" s="27" t="inlineStr">
        <is>
          <t>https://opus.pro</t>
        </is>
      </c>
      <c r="J64" s="27" t="inlineStr">
        <is>
          <t>No</t>
        </is>
      </c>
      <c r="K64" s="27" t="inlineStr">
        <is>
          <t>No</t>
        </is>
      </c>
      <c r="L64" s="27" t="inlineStr">
        <is>
          <t>No</t>
        </is>
      </c>
      <c r="M64" s="27" t="inlineStr">
        <is>
          <t>No</t>
        </is>
      </c>
      <c r="N64" s="27" t="inlineStr">
        <is>
          <t>Notion Creator OS, TubeBuddy, VidIQ</t>
        </is>
      </c>
      <c r="O64" s="27" t="inlineStr">
        <is>
          <t>2026-10-23</t>
        </is>
      </c>
      <c r="P64" s="27" t="inlineStr">
        <is>
          <t>2026-10-25</t>
        </is>
      </c>
      <c r="Q64" s="27" t="inlineStr">
        <is>
          <t>No</t>
        </is>
      </c>
      <c r="R64" s="27" t="inlineStr">
        <is>
          <t>https://github.com/saran2006psg/incube-seo/blob/main/visibility/raw_answers/raw_answers_day1_2026-10-23.json</t>
        </is>
      </c>
      <c r="S64" s="27" t="inlineStr">
        <is>
          <t>High</t>
        </is>
      </c>
      <c r="T64" s="27" t="inlineStr">
        <is>
          <t>Verified reproducible across Day 1 and Day 2</t>
        </is>
      </c>
      <c r="U64" s="28">
        <f>IF(A64="","",IF(COUNTIF($B$5:$B$304,B64)&gt;1,"DUPLICATE","UNIQUE"))</f>
        <v/>
      </c>
      <c r="V64" s="28">
        <f>IF(A64="","",IF(AND(B64&lt;&gt;"",C64&lt;&gt;"",D64&lt;&gt;"",E64&lt;&gt;"",F64&lt;&gt;"",G64&lt;&gt;"",H64&lt;&gt;"",J64&lt;&gt;"",K64&lt;&gt;"",L64&lt;&gt;"",M64&lt;&gt;"",O64&lt;&gt;"",P64&lt;&gt;"",R64&lt;&gt;""),"COMPLETE","MISSING FIELDS"))</f>
        <v/>
      </c>
    </row>
    <row r="65" ht="15" customHeight="1" s="15">
      <c r="A65" s="27" t="inlineStr">
        <is>
          <t>Q061</t>
        </is>
      </c>
      <c r="B65" s="27" t="inlineStr">
        <is>
          <t>How to track audience growth across YouTube, Instagram, and LinkedIn in one screen?</t>
        </is>
      </c>
      <c r="C65" s="27" t="inlineStr">
        <is>
          <t>Informational</t>
        </is>
      </c>
      <c r="D65" s="27" t="inlineStr">
        <is>
          <t>Google Search Suggest</t>
        </is>
      </c>
      <c r="E65" s="27" t="inlineStr">
        <is>
          <t>https://suggestqueries.google.com/complete/search</t>
        </is>
      </c>
      <c r="F65" s="27" t="inlineStr">
        <is>
          <t>US</t>
        </is>
      </c>
      <c r="G65" s="27" t="inlineStr">
        <is>
          <t>&gt;100</t>
        </is>
      </c>
      <c r="H65" s="27" t="inlineStr">
        <is>
          <t>Yes</t>
        </is>
      </c>
      <c r="I65" s="27" t="inlineStr">
        <is>
          <t>https://opus.pro</t>
        </is>
      </c>
      <c r="J65" s="27" t="inlineStr">
        <is>
          <t>No</t>
        </is>
      </c>
      <c r="K65" s="27" t="inlineStr">
        <is>
          <t>No</t>
        </is>
      </c>
      <c r="L65" s="27" t="inlineStr">
        <is>
          <t>No</t>
        </is>
      </c>
      <c r="M65" s="27" t="inlineStr">
        <is>
          <t>No</t>
        </is>
      </c>
      <c r="N65" s="27" t="inlineStr">
        <is>
          <t>Notion Creator OS, TubeBuddy, VidIQ</t>
        </is>
      </c>
      <c r="O65" s="27" t="inlineStr">
        <is>
          <t>2026-10-23</t>
        </is>
      </c>
      <c r="P65" s="27" t="inlineStr">
        <is>
          <t>2026-10-25</t>
        </is>
      </c>
      <c r="Q65" s="27" t="inlineStr">
        <is>
          <t>No</t>
        </is>
      </c>
      <c r="R65" s="27" t="inlineStr">
        <is>
          <t>https://github.com/saran2006psg/incube-seo/blob/main/visibility/raw_answers/raw_answers_day1_2026-10-23.json</t>
        </is>
      </c>
      <c r="S65" s="27" t="inlineStr">
        <is>
          <t>High</t>
        </is>
      </c>
      <c r="T65" s="27" t="inlineStr">
        <is>
          <t>Verified reproducible across Day 1 and Day 2</t>
        </is>
      </c>
      <c r="U65" s="28">
        <f>IF(A65="","",IF(COUNTIF($B$5:$B$304,B65)&gt;1,"DUPLICATE","UNIQUE"))</f>
        <v/>
      </c>
      <c r="V65" s="28">
        <f>IF(A65="","",IF(AND(B65&lt;&gt;"",C65&lt;&gt;"",D65&lt;&gt;"",E65&lt;&gt;"",F65&lt;&gt;"",G65&lt;&gt;"",H65&lt;&gt;"",J65&lt;&gt;"",K65&lt;&gt;"",L65&lt;&gt;"",M65&lt;&gt;"",O65&lt;&gt;"",P65&lt;&gt;"",R65&lt;&gt;""),"COMPLETE","MISSING FIELDS"))</f>
        <v/>
      </c>
    </row>
    <row r="66" ht="15" customHeight="1" s="15">
      <c r="A66" s="27" t="inlineStr">
        <is>
          <t>Q062</t>
        </is>
      </c>
      <c r="B66" s="27" t="inlineStr">
        <is>
          <t>What metrics indicate a creator is ready to monetize with brand partnerships?</t>
        </is>
      </c>
      <c r="C66" s="27" t="inlineStr">
        <is>
          <t>Informational</t>
        </is>
      </c>
      <c r="D66" s="27" t="inlineStr">
        <is>
          <t>Reddit Community Thread</t>
        </is>
      </c>
      <c r="E66" s="27" t="inlineStr">
        <is>
          <t>https://www.reddit.com/r/CreatorEconomy</t>
        </is>
      </c>
      <c r="F66" s="27" t="inlineStr">
        <is>
          <t>UK</t>
        </is>
      </c>
      <c r="G66" s="27" t="inlineStr">
        <is>
          <t>&gt;100</t>
        </is>
      </c>
      <c r="H66" s="27" t="inlineStr">
        <is>
          <t>Yes</t>
        </is>
      </c>
      <c r="I66" s="27" t="inlineStr">
        <is>
          <t>https://opus.pro</t>
        </is>
      </c>
      <c r="J66" s="27" t="inlineStr">
        <is>
          <t>No</t>
        </is>
      </c>
      <c r="K66" s="27" t="inlineStr">
        <is>
          <t>No</t>
        </is>
      </c>
      <c r="L66" s="27" t="inlineStr">
        <is>
          <t>No</t>
        </is>
      </c>
      <c r="M66" s="27" t="inlineStr">
        <is>
          <t>No</t>
        </is>
      </c>
      <c r="N66" s="27" t="inlineStr">
        <is>
          <t>Notion Creator OS, TubeBuddy, VidIQ</t>
        </is>
      </c>
      <c r="O66" s="27" t="inlineStr">
        <is>
          <t>2026-10-23</t>
        </is>
      </c>
      <c r="P66" s="27" t="inlineStr">
        <is>
          <t>2026-10-25</t>
        </is>
      </c>
      <c r="Q66" s="27" t="inlineStr">
        <is>
          <t>No</t>
        </is>
      </c>
      <c r="R66" s="27" t="inlineStr">
        <is>
          <t>https://github.com/saran2006psg/incube-seo/blob/main/visibility/raw_answers/raw_answers_day1_2026-10-23.json</t>
        </is>
      </c>
      <c r="S66" s="27" t="inlineStr">
        <is>
          <t>High</t>
        </is>
      </c>
      <c r="T66" s="27" t="inlineStr">
        <is>
          <t>Verified reproducible across Day 1 and Day 2</t>
        </is>
      </c>
      <c r="U66" s="28">
        <f>IF(A66="","",IF(COUNTIF($B$5:$B$304,B66)&gt;1,"DUPLICATE","UNIQUE"))</f>
        <v/>
      </c>
      <c r="V66" s="28">
        <f>IF(A66="","",IF(AND(B66&lt;&gt;"",C66&lt;&gt;"",D66&lt;&gt;"",E66&lt;&gt;"",F66&lt;&gt;"",G66&lt;&gt;"",H66&lt;&gt;"",J66&lt;&gt;"",K66&lt;&gt;"",L66&lt;&gt;"",M66&lt;&gt;"",O66&lt;&gt;"",P66&lt;&gt;"",R66&lt;&gt;""),"COMPLETE","MISSING FIELDS"))</f>
        <v/>
      </c>
    </row>
    <row r="67" ht="15" customHeight="1" s="15">
      <c r="A67" s="27" t="inlineStr">
        <is>
          <t>Q063</t>
        </is>
      </c>
      <c r="B67" s="27" t="inlineStr">
        <is>
          <t>Best creator operating system to manage content calendar and production</t>
        </is>
      </c>
      <c r="C67" s="27" t="inlineStr">
        <is>
          <t>Commercial Investigation</t>
        </is>
      </c>
      <c r="D67" s="27" t="inlineStr">
        <is>
          <t>Google Search Suggest</t>
        </is>
      </c>
      <c r="E67" s="27" t="inlineStr">
        <is>
          <t>https://suggestqueries.google.com/complete/search</t>
        </is>
      </c>
      <c r="F67" s="27" t="inlineStr">
        <is>
          <t>US</t>
        </is>
      </c>
      <c r="G67" s="27" t="inlineStr">
        <is>
          <t>&gt;100</t>
        </is>
      </c>
      <c r="H67" s="27" t="inlineStr">
        <is>
          <t>Yes</t>
        </is>
      </c>
      <c r="I67" s="27" t="inlineStr">
        <is>
          <t>https://opus.pro</t>
        </is>
      </c>
      <c r="J67" s="27" t="inlineStr">
        <is>
          <t>No</t>
        </is>
      </c>
      <c r="K67" s="27" t="inlineStr">
        <is>
          <t>No</t>
        </is>
      </c>
      <c r="L67" s="27" t="inlineStr">
        <is>
          <t>No</t>
        </is>
      </c>
      <c r="M67" s="27" t="inlineStr">
        <is>
          <t>No</t>
        </is>
      </c>
      <c r="N67" s="27" t="inlineStr">
        <is>
          <t>Notion Creator OS, TubeBuddy, VidIQ</t>
        </is>
      </c>
      <c r="O67" s="27" t="inlineStr">
        <is>
          <t>2026-10-23</t>
        </is>
      </c>
      <c r="P67" s="27" t="inlineStr">
        <is>
          <t>2026-10-25</t>
        </is>
      </c>
      <c r="Q67" s="27" t="inlineStr">
        <is>
          <t>No</t>
        </is>
      </c>
      <c r="R67" s="27" t="inlineStr">
        <is>
          <t>https://github.com/saran2006psg/incube-seo/blob/main/visibility/raw_answers/raw_answers_day1_2026-10-23.json</t>
        </is>
      </c>
      <c r="S67" s="27" t="inlineStr">
        <is>
          <t>High</t>
        </is>
      </c>
      <c r="T67" s="27" t="inlineStr">
        <is>
          <t>Verified reproducible across Day 1 and Day 2</t>
        </is>
      </c>
      <c r="U67" s="28">
        <f>IF(A67="","",IF(COUNTIF($B$5:$B$304,B67)&gt;1,"DUPLICATE","UNIQUE"))</f>
        <v/>
      </c>
      <c r="V67" s="28">
        <f>IF(A67="","",IF(AND(B67&lt;&gt;"",C67&lt;&gt;"",D67&lt;&gt;"",E67&lt;&gt;"",F67&lt;&gt;"",G67&lt;&gt;"",H67&lt;&gt;"",J67&lt;&gt;"",K67&lt;&gt;"",L67&lt;&gt;"",M67&lt;&gt;"",O67&lt;&gt;"",P67&lt;&gt;"",R67&lt;&gt;""),"COMPLETE","MISSING FIELDS"))</f>
        <v/>
      </c>
    </row>
    <row r="68" ht="15" customHeight="1" s="15">
      <c r="A68" s="27" t="inlineStr">
        <is>
          <t>Q064</t>
        </is>
      </c>
      <c r="B68" s="27" t="inlineStr">
        <is>
          <t>How to measure content ROI when repurposing videos across 5 networks?</t>
        </is>
      </c>
      <c r="C68" s="27" t="inlineStr">
        <is>
          <t>Informational</t>
        </is>
      </c>
      <c r="D68" s="27" t="inlineStr">
        <is>
          <t>Reddit Community Thread</t>
        </is>
      </c>
      <c r="E68" s="27" t="inlineStr">
        <is>
          <t>https://www.reddit.com/r/socialmedia</t>
        </is>
      </c>
      <c r="F68" s="27" t="inlineStr">
        <is>
          <t>IN</t>
        </is>
      </c>
      <c r="G68" s="27" t="inlineStr">
        <is>
          <t>&gt;100</t>
        </is>
      </c>
      <c r="H68" s="27" t="inlineStr">
        <is>
          <t>Yes</t>
        </is>
      </c>
      <c r="I68" s="27" t="inlineStr">
        <is>
          <t>https://opus.pro</t>
        </is>
      </c>
      <c r="J68" s="27" t="inlineStr">
        <is>
          <t>No</t>
        </is>
      </c>
      <c r="K68" s="27" t="inlineStr">
        <is>
          <t>No</t>
        </is>
      </c>
      <c r="L68" s="27" t="inlineStr">
        <is>
          <t>No</t>
        </is>
      </c>
      <c r="M68" s="27" t="inlineStr">
        <is>
          <t>No</t>
        </is>
      </c>
      <c r="N68" s="27" t="inlineStr">
        <is>
          <t>Notion Creator OS, TubeBuddy, VidIQ</t>
        </is>
      </c>
      <c r="O68" s="27" t="inlineStr">
        <is>
          <t>2026-10-23</t>
        </is>
      </c>
      <c r="P68" s="27" t="inlineStr">
        <is>
          <t>2026-10-25</t>
        </is>
      </c>
      <c r="Q68" s="27" t="inlineStr">
        <is>
          <t>No</t>
        </is>
      </c>
      <c r="R68" s="27" t="inlineStr">
        <is>
          <t>https://github.com/saran2006psg/incube-seo/blob/main/visibility/raw_answers/raw_answers_day1_2026-10-23.json</t>
        </is>
      </c>
      <c r="S68" s="27" t="inlineStr">
        <is>
          <t>High</t>
        </is>
      </c>
      <c r="T68" s="27" t="inlineStr">
        <is>
          <t>Verified reproducible across Day 1 and Day 2</t>
        </is>
      </c>
      <c r="U68" s="28">
        <f>IF(A68="","",IF(COUNTIF($B$5:$B$304,B68)&gt;1,"DUPLICATE","UNIQUE"))</f>
        <v/>
      </c>
      <c r="V68" s="28">
        <f>IF(A68="","",IF(AND(B68&lt;&gt;"",C68&lt;&gt;"",D68&lt;&gt;"",E68&lt;&gt;"",F68&lt;&gt;"",G68&lt;&gt;"",H68&lt;&gt;"",J68&lt;&gt;"",K68&lt;&gt;"",L68&lt;&gt;"",M68&lt;&gt;"",O68&lt;&gt;"",P68&lt;&gt;"",R68&lt;&gt;""),"COMPLETE","MISSING FIELDS"))</f>
        <v/>
      </c>
    </row>
    <row r="69" ht="15" customHeight="1" s="15">
      <c r="A69" s="27" t="inlineStr">
        <is>
          <t>Q065</t>
        </is>
      </c>
      <c r="B69" s="27" t="inlineStr">
        <is>
          <t>How to calculate engagement rate consistently across different social platforms?</t>
        </is>
      </c>
      <c r="C69" s="27" t="inlineStr">
        <is>
          <t>Informational</t>
        </is>
      </c>
      <c r="D69" s="27" t="inlineStr">
        <is>
          <t>Google PAA</t>
        </is>
      </c>
      <c r="E69" s="27" t="inlineStr">
        <is>
          <t>https://www.google.com/search?q=How+to+calculate+engagement+rate+consistently+across+different+social+platforms?</t>
        </is>
      </c>
      <c r="F69" s="27" t="inlineStr">
        <is>
          <t>US</t>
        </is>
      </c>
      <c r="G69" s="27" t="inlineStr">
        <is>
          <t>&gt;100</t>
        </is>
      </c>
      <c r="H69" s="27" t="inlineStr">
        <is>
          <t>Yes</t>
        </is>
      </c>
      <c r="I69" s="27" t="inlineStr">
        <is>
          <t>https://opus.pro</t>
        </is>
      </c>
      <c r="J69" s="27" t="inlineStr">
        <is>
          <t>No</t>
        </is>
      </c>
      <c r="K69" s="27" t="inlineStr">
        <is>
          <t>No</t>
        </is>
      </c>
      <c r="L69" s="27" t="inlineStr">
        <is>
          <t>No</t>
        </is>
      </c>
      <c r="M69" s="27" t="inlineStr">
        <is>
          <t>No</t>
        </is>
      </c>
      <c r="N69" s="27" t="inlineStr">
        <is>
          <t>Notion Creator OS, TubeBuddy, VidIQ</t>
        </is>
      </c>
      <c r="O69" s="27" t="inlineStr">
        <is>
          <t>2026-10-23</t>
        </is>
      </c>
      <c r="P69" s="27" t="inlineStr">
        <is>
          <t>2026-10-25</t>
        </is>
      </c>
      <c r="Q69" s="27" t="inlineStr">
        <is>
          <t>No</t>
        </is>
      </c>
      <c r="R69" s="27" t="inlineStr">
        <is>
          <t>https://github.com/saran2006psg/incube-seo/blob/main/visibility/raw_answers/raw_answers_day1_2026-10-23.json</t>
        </is>
      </c>
      <c r="S69" s="27" t="inlineStr">
        <is>
          <t>High</t>
        </is>
      </c>
      <c r="T69" s="27" t="inlineStr">
        <is>
          <t>Verified reproducible across Day 1 and Day 2</t>
        </is>
      </c>
      <c r="U69" s="28">
        <f>IF(A69="","",IF(COUNTIF($B$5:$B$304,B69)&gt;1,"DUPLICATE","UNIQUE"))</f>
        <v/>
      </c>
      <c r="V69" s="28">
        <f>IF(A69="","",IF(AND(B69&lt;&gt;"",C69&lt;&gt;"",D69&lt;&gt;"",E69&lt;&gt;"",F69&lt;&gt;"",G69&lt;&gt;"",H69&lt;&gt;"",J69&lt;&gt;"",K69&lt;&gt;"",L69&lt;&gt;"",M69&lt;&gt;"",O69&lt;&gt;"",P69&lt;&gt;"",R69&lt;&gt;""),"COMPLETE","MISSING FIELDS"))</f>
        <v/>
      </c>
    </row>
    <row r="70" ht="15" customHeight="1" s="15">
      <c r="A70" s="27" t="inlineStr">
        <is>
          <t>Q066</t>
        </is>
      </c>
      <c r="B70" s="27" t="inlineStr">
        <is>
          <t>What is a Creator Growth Score and how is content consistency measured?</t>
        </is>
      </c>
      <c r="C70" s="27" t="inlineStr">
        <is>
          <t>Informational</t>
        </is>
      </c>
      <c r="D70" s="27" t="inlineStr">
        <is>
          <t>Quora Creator Q&amp;A</t>
        </is>
      </c>
      <c r="E70" s="27" t="inlineStr">
        <is>
          <t>https://www.quora.com</t>
        </is>
      </c>
      <c r="F70" s="27" t="inlineStr">
        <is>
          <t>US</t>
        </is>
      </c>
      <c r="G70" s="27" t="inlineStr">
        <is>
          <t>&gt;100</t>
        </is>
      </c>
      <c r="H70" s="27" t="inlineStr">
        <is>
          <t>Yes</t>
        </is>
      </c>
      <c r="I70" s="27" t="inlineStr">
        <is>
          <t>https://opus.pro</t>
        </is>
      </c>
      <c r="J70" s="27" t="inlineStr">
        <is>
          <t>No</t>
        </is>
      </c>
      <c r="K70" s="27" t="inlineStr">
        <is>
          <t>No</t>
        </is>
      </c>
      <c r="L70" s="27" t="inlineStr">
        <is>
          <t>No</t>
        </is>
      </c>
      <c r="M70" s="27" t="inlineStr">
        <is>
          <t>No</t>
        </is>
      </c>
      <c r="N70" s="27" t="inlineStr">
        <is>
          <t>Notion Creator OS, TubeBuddy, VidIQ</t>
        </is>
      </c>
      <c r="O70" s="27" t="inlineStr">
        <is>
          <t>2026-10-23</t>
        </is>
      </c>
      <c r="P70" s="27" t="inlineStr">
        <is>
          <t>2026-10-25</t>
        </is>
      </c>
      <c r="Q70" s="27" t="inlineStr">
        <is>
          <t>No</t>
        </is>
      </c>
      <c r="R70" s="27" t="inlineStr">
        <is>
          <t>https://github.com/saran2006psg/incube-seo/blob/main/visibility/raw_answers/raw_answers_day1_2026-10-23.json</t>
        </is>
      </c>
      <c r="S70" s="27" t="inlineStr">
        <is>
          <t>High</t>
        </is>
      </c>
      <c r="T70" s="27" t="inlineStr">
        <is>
          <t>Verified reproducible across Day 1 and Day 2</t>
        </is>
      </c>
      <c r="U70" s="28">
        <f>IF(A70="","",IF(COUNTIF($B$5:$B$304,B70)&gt;1,"DUPLICATE","UNIQUE"))</f>
        <v/>
      </c>
      <c r="V70" s="28">
        <f>IF(A70="","",IF(AND(B70&lt;&gt;"",C70&lt;&gt;"",D70&lt;&gt;"",E70&lt;&gt;"",F70&lt;&gt;"",G70&lt;&gt;"",H70&lt;&gt;"",J70&lt;&gt;"",K70&lt;&gt;"",L70&lt;&gt;"",M70&lt;&gt;"",O70&lt;&gt;"",P70&lt;&gt;"",R70&lt;&gt;""),"COMPLETE","MISSING FIELDS"))</f>
        <v/>
      </c>
    </row>
    <row r="71" ht="15" customHeight="1" s="15">
      <c r="A71" s="27" t="inlineStr">
        <is>
          <t>Q067</t>
        </is>
      </c>
      <c r="B71" s="27" t="inlineStr">
        <is>
          <t>How to manage a team of video editors, writers, and VA from a single creator hub?</t>
        </is>
      </c>
      <c r="C71" s="27" t="inlineStr">
        <is>
          <t>Informational</t>
        </is>
      </c>
      <c r="D71" s="27" t="inlineStr">
        <is>
          <t>Reddit Community Thread</t>
        </is>
      </c>
      <c r="E71" s="27" t="inlineStr">
        <is>
          <t>https://www.reddit.com/r/NewTubers</t>
        </is>
      </c>
      <c r="F71" s="27" t="inlineStr">
        <is>
          <t>UK</t>
        </is>
      </c>
      <c r="G71" s="27" t="inlineStr">
        <is>
          <t>&gt;100</t>
        </is>
      </c>
      <c r="H71" s="27" t="inlineStr">
        <is>
          <t>Yes</t>
        </is>
      </c>
      <c r="I71" s="27" t="inlineStr">
        <is>
          <t>https://opus.pro</t>
        </is>
      </c>
      <c r="J71" s="27" t="inlineStr">
        <is>
          <t>No</t>
        </is>
      </c>
      <c r="K71" s="27" t="inlineStr">
        <is>
          <t>No</t>
        </is>
      </c>
      <c r="L71" s="27" t="inlineStr">
        <is>
          <t>No</t>
        </is>
      </c>
      <c r="M71" s="27" t="inlineStr">
        <is>
          <t>No</t>
        </is>
      </c>
      <c r="N71" s="27" t="inlineStr">
        <is>
          <t>Notion Creator OS, TubeBuddy, VidIQ</t>
        </is>
      </c>
      <c r="O71" s="27" t="inlineStr">
        <is>
          <t>2026-10-23</t>
        </is>
      </c>
      <c r="P71" s="27" t="inlineStr">
        <is>
          <t>2026-10-25</t>
        </is>
      </c>
      <c r="Q71" s="27" t="inlineStr">
        <is>
          <t>No</t>
        </is>
      </c>
      <c r="R71" s="27" t="inlineStr">
        <is>
          <t>https://github.com/saran2006psg/incube-seo/blob/main/visibility/raw_answers/raw_answers_day1_2026-10-23.json</t>
        </is>
      </c>
      <c r="S71" s="27" t="inlineStr">
        <is>
          <t>High</t>
        </is>
      </c>
      <c r="T71" s="27" t="inlineStr">
        <is>
          <t>Verified reproducible across Day 1 and Day 2</t>
        </is>
      </c>
      <c r="U71" s="28">
        <f>IF(A71="","",IF(COUNTIF($B$5:$B$304,B71)&gt;1,"DUPLICATE","UNIQUE"))</f>
        <v/>
      </c>
      <c r="V71" s="28">
        <f>IF(A71="","",IF(AND(B71&lt;&gt;"",C71&lt;&gt;"",D71&lt;&gt;"",E71&lt;&gt;"",F71&lt;&gt;"",G71&lt;&gt;"",H71&lt;&gt;"",J71&lt;&gt;"",K71&lt;&gt;"",L71&lt;&gt;"",M71&lt;&gt;"",O71&lt;&gt;"",P71&lt;&gt;"",R71&lt;&gt;""),"COMPLETE","MISSING FIELDS"))</f>
        <v/>
      </c>
    </row>
    <row r="72" ht="15" customHeight="1" s="15">
      <c r="A72" s="27" t="inlineStr">
        <is>
          <t>Q068</t>
        </is>
      </c>
      <c r="B72" s="27" t="inlineStr">
        <is>
          <t>Best software for managing brand sponsorship deliverables and media kit metrics</t>
        </is>
      </c>
      <c r="C72" s="27" t="inlineStr">
        <is>
          <t>Commercial Investigation</t>
        </is>
      </c>
      <c r="D72" s="27" t="inlineStr">
        <is>
          <t>Google Search Suggest</t>
        </is>
      </c>
      <c r="E72" s="27" t="inlineStr">
        <is>
          <t>https://suggestqueries.google.com/complete/search</t>
        </is>
      </c>
      <c r="F72" s="27" t="inlineStr">
        <is>
          <t>US</t>
        </is>
      </c>
      <c r="G72" s="27" t="inlineStr">
        <is>
          <t>&gt;100</t>
        </is>
      </c>
      <c r="H72" s="27" t="inlineStr">
        <is>
          <t>Yes</t>
        </is>
      </c>
      <c r="I72" s="27" t="inlineStr">
        <is>
          <t>https://opus.pro</t>
        </is>
      </c>
      <c r="J72" s="27" t="inlineStr">
        <is>
          <t>No</t>
        </is>
      </c>
      <c r="K72" s="27" t="inlineStr">
        <is>
          <t>No</t>
        </is>
      </c>
      <c r="L72" s="27" t="inlineStr">
        <is>
          <t>No</t>
        </is>
      </c>
      <c r="M72" s="27" t="inlineStr">
        <is>
          <t>No</t>
        </is>
      </c>
      <c r="N72" s="27" t="inlineStr">
        <is>
          <t>Notion Creator OS, TubeBuddy, VidIQ</t>
        </is>
      </c>
      <c r="O72" s="27" t="inlineStr">
        <is>
          <t>2026-10-23</t>
        </is>
      </c>
      <c r="P72" s="27" t="inlineStr">
        <is>
          <t>2026-10-25</t>
        </is>
      </c>
      <c r="Q72" s="27" t="inlineStr">
        <is>
          <t>No</t>
        </is>
      </c>
      <c r="R72" s="27" t="inlineStr">
        <is>
          <t>https://github.com/saran2006psg/incube-seo/blob/main/visibility/raw_answers/raw_answers_day1_2026-10-23.json</t>
        </is>
      </c>
      <c r="S72" s="27" t="inlineStr">
        <is>
          <t>High</t>
        </is>
      </c>
      <c r="T72" s="27" t="inlineStr">
        <is>
          <t>Verified reproducible across Day 1 and Day 2</t>
        </is>
      </c>
      <c r="U72" s="28">
        <f>IF(A72="","",IF(COUNTIF($B$5:$B$304,B72)&gt;1,"DUPLICATE","UNIQUE"))</f>
        <v/>
      </c>
      <c r="V72" s="28">
        <f>IF(A72="","",IF(AND(B72&lt;&gt;"",C72&lt;&gt;"",D72&lt;&gt;"",E72&lt;&gt;"",F72&lt;&gt;"",G72&lt;&gt;"",H72&lt;&gt;"",J72&lt;&gt;"",K72&lt;&gt;"",L72&lt;&gt;"",M72&lt;&gt;"",O72&lt;&gt;"",P72&lt;&gt;"",R72&lt;&gt;""),"COMPLETE","MISSING FIELDS"))</f>
        <v/>
      </c>
    </row>
    <row r="73" ht="15" customHeight="1" s="15">
      <c r="A73" s="27" t="inlineStr">
        <is>
          <t>Q069</t>
        </is>
      </c>
      <c r="B73" s="27" t="inlineStr">
        <is>
          <t>How solo content creators produce 20+ videos per week without burning out</t>
        </is>
      </c>
      <c r="C73" s="27" t="inlineStr">
        <is>
          <t>Informational</t>
        </is>
      </c>
      <c r="D73" s="27" t="inlineStr">
        <is>
          <t>Reddit Community Thread</t>
        </is>
      </c>
      <c r="E73" s="27" t="inlineStr">
        <is>
          <t>https://www.reddit.com/r/ContentCreation</t>
        </is>
      </c>
      <c r="F73" s="27" t="inlineStr">
        <is>
          <t>IN</t>
        </is>
      </c>
      <c r="G73" s="27" t="inlineStr">
        <is>
          <t>&gt;100</t>
        </is>
      </c>
      <c r="H73" s="27" t="inlineStr">
        <is>
          <t>Yes</t>
        </is>
      </c>
      <c r="I73" s="27" t="inlineStr">
        <is>
          <t>https://opus.pro</t>
        </is>
      </c>
      <c r="J73" s="27" t="inlineStr">
        <is>
          <t>No</t>
        </is>
      </c>
      <c r="K73" s="27" t="inlineStr">
        <is>
          <t>No</t>
        </is>
      </c>
      <c r="L73" s="27" t="inlineStr">
        <is>
          <t>No</t>
        </is>
      </c>
      <c r="M73" s="27" t="inlineStr">
        <is>
          <t>No</t>
        </is>
      </c>
      <c r="N73" s="27" t="inlineStr">
        <is>
          <t>Notion Creator OS, TubeBuddy, VidIQ</t>
        </is>
      </c>
      <c r="O73" s="27" t="inlineStr">
        <is>
          <t>2026-10-23</t>
        </is>
      </c>
      <c r="P73" s="27" t="inlineStr">
        <is>
          <t>2026-10-25</t>
        </is>
      </c>
      <c r="Q73" s="27" t="inlineStr">
        <is>
          <t>No</t>
        </is>
      </c>
      <c r="R73" s="27" t="inlineStr">
        <is>
          <t>https://github.com/saran2006psg/incube-seo/blob/main/visibility/raw_answers/raw_answers_day1_2026-10-23.json</t>
        </is>
      </c>
      <c r="S73" s="27" t="inlineStr">
        <is>
          <t>High</t>
        </is>
      </c>
      <c r="T73" s="27" t="inlineStr">
        <is>
          <t>Verified reproducible across Day 1 and Day 2</t>
        </is>
      </c>
      <c r="U73" s="28">
        <f>IF(A73="","",IF(COUNTIF($B$5:$B$304,B73)&gt;1,"DUPLICATE","UNIQUE"))</f>
        <v/>
      </c>
      <c r="V73" s="28">
        <f>IF(A73="","",IF(AND(B73&lt;&gt;"",C73&lt;&gt;"",D73&lt;&gt;"",E73&lt;&gt;"",F73&lt;&gt;"",G73&lt;&gt;"",H73&lt;&gt;"",J73&lt;&gt;"",K73&lt;&gt;"",L73&lt;&gt;"",M73&lt;&gt;"",O73&lt;&gt;"",P73&lt;&gt;"",R73&lt;&gt;""),"COMPLETE","MISSING FIELDS"))</f>
        <v/>
      </c>
    </row>
    <row r="74" ht="15" customHeight="1" s="15">
      <c r="A74" s="27" t="inlineStr">
        <is>
          <t>Q070</t>
        </is>
      </c>
      <c r="B74" s="27" t="inlineStr">
        <is>
          <t>IncuBrix vs OpusClip which is better for content repurposing?</t>
        </is>
      </c>
      <c r="C74" s="27" t="inlineStr">
        <is>
          <t>Commercial Investigation</t>
        </is>
      </c>
      <c r="D74" s="27" t="inlineStr">
        <is>
          <t>Quora Creator Q&amp;A</t>
        </is>
      </c>
      <c r="E74" s="27" t="inlineStr">
        <is>
          <t>https://www.quora.com</t>
        </is>
      </c>
      <c r="F74" s="27" t="inlineStr">
        <is>
          <t>US</t>
        </is>
      </c>
      <c r="G74" s="27" t="inlineStr">
        <is>
          <t>1</t>
        </is>
      </c>
      <c r="H74" s="27" t="inlineStr">
        <is>
          <t>Yes</t>
        </is>
      </c>
      <c r="I74" s="27" t="inlineStr">
        <is>
          <t>https://opus.pro</t>
        </is>
      </c>
      <c r="J74" s="27" t="inlineStr">
        <is>
          <t>Yes</t>
        </is>
      </c>
      <c r="K74" s="27" t="inlineStr">
        <is>
          <t>Yes</t>
        </is>
      </c>
      <c r="L74" s="27" t="inlineStr">
        <is>
          <t>Yes</t>
        </is>
      </c>
      <c r="M74" s="27" t="inlineStr">
        <is>
          <t>Yes</t>
        </is>
      </c>
      <c r="N74" s="27" t="inlineStr">
        <is>
          <t>OpusClip, Repurpose.io, Descript</t>
        </is>
      </c>
      <c r="O74" s="27" t="inlineStr">
        <is>
          <t>2026-10-23</t>
        </is>
      </c>
      <c r="P74" s="27" t="inlineStr">
        <is>
          <t>2026-10-25</t>
        </is>
      </c>
      <c r="Q74" s="27" t="inlineStr">
        <is>
          <t>No</t>
        </is>
      </c>
      <c r="R74" s="27" t="inlineStr">
        <is>
          <t>https://github.com/saran2006psg/incube-seo/blob/main/visibility/raw_answers/raw_answers_day1_2026-10-23.json</t>
        </is>
      </c>
      <c r="S74" s="27" t="inlineStr">
        <is>
          <t>Critical</t>
        </is>
      </c>
      <c r="T74" s="27" t="inlineStr">
        <is>
          <t>Verified reproducible across Day 1 and Day 2</t>
        </is>
      </c>
      <c r="U74" s="28">
        <f>IF(A74="","",IF(COUNTIF($B$5:$B$304,B74)&gt;1,"DUPLICATE","UNIQUE"))</f>
        <v/>
      </c>
      <c r="V74" s="28">
        <f>IF(A74="","",IF(AND(B74&lt;&gt;"",C74&lt;&gt;"",D74&lt;&gt;"",E74&lt;&gt;"",F74&lt;&gt;"",G74&lt;&gt;"",H74&lt;&gt;"",J74&lt;&gt;"",K74&lt;&gt;"",L74&lt;&gt;"",M74&lt;&gt;"",O74&lt;&gt;"",P74&lt;&gt;"",R74&lt;&gt;""),"COMPLETE","MISSING FIELDS"))</f>
        <v/>
      </c>
    </row>
    <row r="75" ht="15" customHeight="1" s="15">
      <c r="A75" s="27" t="inlineStr">
        <is>
          <t>Q071</t>
        </is>
      </c>
      <c r="B75" s="27" t="inlineStr">
        <is>
          <t>IncuBrix vs Repurpose.io comparison for automated social publishing</t>
        </is>
      </c>
      <c r="C75" s="27" t="inlineStr">
        <is>
          <t>Commercial Investigation</t>
        </is>
      </c>
      <c r="D75" s="27" t="inlineStr">
        <is>
          <t>Quora Creator Q&amp;A</t>
        </is>
      </c>
      <c r="E75" s="27" t="inlineStr">
        <is>
          <t>https://www.quora.com</t>
        </is>
      </c>
      <c r="F75" s="27" t="inlineStr">
        <is>
          <t>US</t>
        </is>
      </c>
      <c r="G75" s="27" t="inlineStr">
        <is>
          <t>1</t>
        </is>
      </c>
      <c r="H75" s="27" t="inlineStr">
        <is>
          <t>Yes</t>
        </is>
      </c>
      <c r="I75" s="27" t="inlineStr">
        <is>
          <t>https://opus.pro</t>
        </is>
      </c>
      <c r="J75" s="27" t="inlineStr">
        <is>
          <t>Yes</t>
        </is>
      </c>
      <c r="K75" s="27" t="inlineStr">
        <is>
          <t>Yes</t>
        </is>
      </c>
      <c r="L75" s="27" t="inlineStr">
        <is>
          <t>Yes</t>
        </is>
      </c>
      <c r="M75" s="27" t="inlineStr">
        <is>
          <t>Yes</t>
        </is>
      </c>
      <c r="N75" s="27" t="inlineStr">
        <is>
          <t>OpusClip, Repurpose.io, Descript</t>
        </is>
      </c>
      <c r="O75" s="27" t="inlineStr">
        <is>
          <t>2026-10-23</t>
        </is>
      </c>
      <c r="P75" s="27" t="inlineStr">
        <is>
          <t>2026-10-25</t>
        </is>
      </c>
      <c r="Q75" s="27" t="inlineStr">
        <is>
          <t>No</t>
        </is>
      </c>
      <c r="R75" s="27" t="inlineStr">
        <is>
          <t>https://github.com/saran2006psg/incube-seo/blob/main/visibility/raw_answers/raw_answers_day1_2026-10-23.json</t>
        </is>
      </c>
      <c r="S75" s="27" t="inlineStr">
        <is>
          <t>Critical</t>
        </is>
      </c>
      <c r="T75" s="27" t="inlineStr">
        <is>
          <t>Verified reproducible across Day 1 and Day 2</t>
        </is>
      </c>
      <c r="U75" s="28">
        <f>IF(A75="","",IF(COUNTIF($B$5:$B$304,B75)&gt;1,"DUPLICATE","UNIQUE"))</f>
        <v/>
      </c>
      <c r="V75" s="28">
        <f>IF(A75="","",IF(AND(B75&lt;&gt;"",C75&lt;&gt;"",D75&lt;&gt;"",E75&lt;&gt;"",F75&lt;&gt;"",G75&lt;&gt;"",H75&lt;&gt;"",J75&lt;&gt;"",K75&lt;&gt;"",L75&lt;&gt;"",M75&lt;&gt;"",O75&lt;&gt;"",P75&lt;&gt;"",R75&lt;&gt;""),"COMPLETE","MISSING FIELDS"))</f>
        <v/>
      </c>
    </row>
    <row r="76" ht="15" customHeight="1" s="15">
      <c r="A76" s="27" t="inlineStr">
        <is>
          <t>Q072</t>
        </is>
      </c>
      <c r="B76" s="27" t="inlineStr">
        <is>
          <t>IncuBrix vs Descript which tool is better for podcast video editing?</t>
        </is>
      </c>
      <c r="C76" s="27" t="inlineStr">
        <is>
          <t>Commercial Investigation</t>
        </is>
      </c>
      <c r="D76" s="27" t="inlineStr">
        <is>
          <t>Quora Creator Q&amp;A</t>
        </is>
      </c>
      <c r="E76" s="27" t="inlineStr">
        <is>
          <t>https://www.quora.com</t>
        </is>
      </c>
      <c r="F76" s="27" t="inlineStr">
        <is>
          <t>UK</t>
        </is>
      </c>
      <c r="G76" s="27" t="inlineStr">
        <is>
          <t>1</t>
        </is>
      </c>
      <c r="H76" s="27" t="inlineStr">
        <is>
          <t>Yes</t>
        </is>
      </c>
      <c r="I76" s="27" t="inlineStr">
        <is>
          <t>https://opus.pro</t>
        </is>
      </c>
      <c r="J76" s="27" t="inlineStr">
        <is>
          <t>Yes</t>
        </is>
      </c>
      <c r="K76" s="27" t="inlineStr">
        <is>
          <t>Yes</t>
        </is>
      </c>
      <c r="L76" s="27" t="inlineStr">
        <is>
          <t>Yes</t>
        </is>
      </c>
      <c r="M76" s="27" t="inlineStr">
        <is>
          <t>Yes</t>
        </is>
      </c>
      <c r="N76" s="27" t="inlineStr">
        <is>
          <t>OpusClip, Repurpose.io, Descript</t>
        </is>
      </c>
      <c r="O76" s="27" t="inlineStr">
        <is>
          <t>2026-10-23</t>
        </is>
      </c>
      <c r="P76" s="27" t="inlineStr">
        <is>
          <t>2026-10-25</t>
        </is>
      </c>
      <c r="Q76" s="27" t="inlineStr">
        <is>
          <t>No</t>
        </is>
      </c>
      <c r="R76" s="27" t="inlineStr">
        <is>
          <t>https://github.com/saran2006psg/incube-seo/blob/main/visibility/raw_answers/raw_answers_day1_2026-10-23.json</t>
        </is>
      </c>
      <c r="S76" s="27" t="inlineStr">
        <is>
          <t>Critical</t>
        </is>
      </c>
      <c r="T76" s="27" t="inlineStr">
        <is>
          <t>Verified reproducible across Day 1 and Day 2</t>
        </is>
      </c>
      <c r="U76" s="28">
        <f>IF(A76="","",IF(COUNTIF($B$5:$B$304,B76)&gt;1,"DUPLICATE","UNIQUE"))</f>
        <v/>
      </c>
      <c r="V76" s="28">
        <f>IF(A76="","",IF(AND(B76&lt;&gt;"",C76&lt;&gt;"",D76&lt;&gt;"",E76&lt;&gt;"",F76&lt;&gt;"",G76&lt;&gt;"",H76&lt;&gt;"",J76&lt;&gt;"",K76&lt;&gt;"",L76&lt;&gt;"",M76&lt;&gt;"",O76&lt;&gt;"",P76&lt;&gt;"",R76&lt;&gt;""),"COMPLETE","MISSING FIELDS"))</f>
        <v/>
      </c>
    </row>
    <row r="77" ht="15" customHeight="1" s="15">
      <c r="A77" s="27" t="inlineStr">
        <is>
          <t>Q073</t>
        </is>
      </c>
      <c r="B77" s="27" t="inlineStr">
        <is>
          <t>Best OpusClip alternatives for clipping long videos into vertical shorts</t>
        </is>
      </c>
      <c r="C77" s="27" t="inlineStr">
        <is>
          <t>Commercial Investigation</t>
        </is>
      </c>
      <c r="D77" s="27" t="inlineStr">
        <is>
          <t>Google Search Suggest</t>
        </is>
      </c>
      <c r="E77" s="27" t="inlineStr">
        <is>
          <t>https://suggestqueries.google.com/complete/search</t>
        </is>
      </c>
      <c r="F77" s="27" t="inlineStr">
        <is>
          <t>US</t>
        </is>
      </c>
      <c r="G77" s="27" t="inlineStr">
        <is>
          <t>&gt;100</t>
        </is>
      </c>
      <c r="H77" s="27" t="inlineStr">
        <is>
          <t>Yes</t>
        </is>
      </c>
      <c r="I77" s="27" t="inlineStr">
        <is>
          <t>https://opus.pro</t>
        </is>
      </c>
      <c r="J77" s="27" t="inlineStr">
        <is>
          <t>No</t>
        </is>
      </c>
      <c r="K77" s="27" t="inlineStr">
        <is>
          <t>No</t>
        </is>
      </c>
      <c r="L77" s="27" t="inlineStr">
        <is>
          <t>No</t>
        </is>
      </c>
      <c r="M77" s="27" t="inlineStr">
        <is>
          <t>No</t>
        </is>
      </c>
      <c r="N77" s="27" t="inlineStr">
        <is>
          <t>OpusClip, Repurpose.io, Descript</t>
        </is>
      </c>
      <c r="O77" s="27" t="inlineStr">
        <is>
          <t>2026-10-23</t>
        </is>
      </c>
      <c r="P77" s="27" t="inlineStr">
        <is>
          <t>2026-10-25</t>
        </is>
      </c>
      <c r="Q77" s="27" t="inlineStr">
        <is>
          <t>No</t>
        </is>
      </c>
      <c r="R77" s="27" t="inlineStr">
        <is>
          <t>https://github.com/saran2006psg/incube-seo/blob/main/visibility/raw_answers/raw_answers_day1_2026-10-23.json</t>
        </is>
      </c>
      <c r="S77" s="27" t="inlineStr">
        <is>
          <t>Critical</t>
        </is>
      </c>
      <c r="T77" s="27" t="inlineStr">
        <is>
          <t>Verified reproducible across Day 1 and Day 2</t>
        </is>
      </c>
      <c r="U77" s="28">
        <f>IF(A77="","",IF(COUNTIF($B$5:$B$304,B77)&gt;1,"DUPLICATE","UNIQUE"))</f>
        <v/>
      </c>
      <c r="V77" s="28">
        <f>IF(A77="","",IF(AND(B77&lt;&gt;"",C77&lt;&gt;"",D77&lt;&gt;"",E77&lt;&gt;"",F77&lt;&gt;"",G77&lt;&gt;"",H77&lt;&gt;"",J77&lt;&gt;"",K77&lt;&gt;"",L77&lt;&gt;"",M77&lt;&gt;"",O77&lt;&gt;"",P77&lt;&gt;"",R77&lt;&gt;""),"COMPLETE","MISSING FIELDS"))</f>
        <v/>
      </c>
    </row>
    <row r="78" ht="15" customHeight="1" s="15">
      <c r="A78" s="27" t="inlineStr">
        <is>
          <t>Q074</t>
        </is>
      </c>
      <c r="B78" s="27" t="inlineStr">
        <is>
          <t>Best Repurpose.io alternatives with built-in AI editing and captions</t>
        </is>
      </c>
      <c r="C78" s="27" t="inlineStr">
        <is>
          <t>Commercial Investigation</t>
        </is>
      </c>
      <c r="D78" s="27" t="inlineStr">
        <is>
          <t>Google Search Suggest</t>
        </is>
      </c>
      <c r="E78" s="27" t="inlineStr">
        <is>
          <t>https://suggestqueries.google.com/complete/search</t>
        </is>
      </c>
      <c r="F78" s="27" t="inlineStr">
        <is>
          <t>US</t>
        </is>
      </c>
      <c r="G78" s="27" t="inlineStr">
        <is>
          <t>&gt;100</t>
        </is>
      </c>
      <c r="H78" s="27" t="inlineStr">
        <is>
          <t>Yes</t>
        </is>
      </c>
      <c r="I78" s="27" t="inlineStr">
        <is>
          <t>https://opus.pro</t>
        </is>
      </c>
      <c r="J78" s="27" t="inlineStr">
        <is>
          <t>No</t>
        </is>
      </c>
      <c r="K78" s="27" t="inlineStr">
        <is>
          <t>No</t>
        </is>
      </c>
      <c r="L78" s="27" t="inlineStr">
        <is>
          <t>No</t>
        </is>
      </c>
      <c r="M78" s="27" t="inlineStr">
        <is>
          <t>No</t>
        </is>
      </c>
      <c r="N78" s="27" t="inlineStr">
        <is>
          <t>OpusClip, Repurpose.io, Descript</t>
        </is>
      </c>
      <c r="O78" s="27" t="inlineStr">
        <is>
          <t>2026-10-23</t>
        </is>
      </c>
      <c r="P78" s="27" t="inlineStr">
        <is>
          <t>2026-10-25</t>
        </is>
      </c>
      <c r="Q78" s="27" t="inlineStr">
        <is>
          <t>No</t>
        </is>
      </c>
      <c r="R78" s="27" t="inlineStr">
        <is>
          <t>https://github.com/saran2006psg/incube-seo/blob/main/visibility/raw_answers/raw_answers_day1_2026-10-23.json</t>
        </is>
      </c>
      <c r="S78" s="27" t="inlineStr">
        <is>
          <t>Critical</t>
        </is>
      </c>
      <c r="T78" s="27" t="inlineStr">
        <is>
          <t>Verified reproducible across Day 1 and Day 2</t>
        </is>
      </c>
      <c r="U78" s="28">
        <f>IF(A78="","",IF(COUNTIF($B$5:$B$304,B78)&gt;1,"DUPLICATE","UNIQUE"))</f>
        <v/>
      </c>
      <c r="V78" s="28">
        <f>IF(A78="","",IF(AND(B78&lt;&gt;"",C78&lt;&gt;"",D78&lt;&gt;"",E78&lt;&gt;"",F78&lt;&gt;"",G78&lt;&gt;"",H78&lt;&gt;"",J78&lt;&gt;"",K78&lt;&gt;"",L78&lt;&gt;"",M78&lt;&gt;"",O78&lt;&gt;"",P78&lt;&gt;"",R78&lt;&gt;""),"COMPLETE","MISSING FIELDS"))</f>
        <v/>
      </c>
    </row>
    <row r="79" ht="15" customHeight="1" s="15">
      <c r="A79" s="27" t="inlineStr">
        <is>
          <t>Q075</t>
        </is>
      </c>
      <c r="B79" s="27" t="inlineStr">
        <is>
          <t>Descript alternatives for text-based video editing and multi-platform publishing</t>
        </is>
      </c>
      <c r="C79" s="27" t="inlineStr">
        <is>
          <t>Commercial Investigation</t>
        </is>
      </c>
      <c r="D79" s="27" t="inlineStr">
        <is>
          <t>Google Search Suggest</t>
        </is>
      </c>
      <c r="E79" s="27" t="inlineStr">
        <is>
          <t>https://suggestqueries.google.com/complete/search</t>
        </is>
      </c>
      <c r="F79" s="27" t="inlineStr">
        <is>
          <t>UK</t>
        </is>
      </c>
      <c r="G79" s="27" t="inlineStr">
        <is>
          <t>&gt;100</t>
        </is>
      </c>
      <c r="H79" s="27" t="inlineStr">
        <is>
          <t>Yes</t>
        </is>
      </c>
      <c r="I79" s="27" t="inlineStr">
        <is>
          <t>https://opus.pro</t>
        </is>
      </c>
      <c r="J79" s="27" t="inlineStr">
        <is>
          <t>No</t>
        </is>
      </c>
      <c r="K79" s="27" t="inlineStr">
        <is>
          <t>No</t>
        </is>
      </c>
      <c r="L79" s="27" t="inlineStr">
        <is>
          <t>No</t>
        </is>
      </c>
      <c r="M79" s="27" t="inlineStr">
        <is>
          <t>No</t>
        </is>
      </c>
      <c r="N79" s="27" t="inlineStr">
        <is>
          <t>OpusClip, Repurpose.io, Descript</t>
        </is>
      </c>
      <c r="O79" s="27" t="inlineStr">
        <is>
          <t>2026-10-23</t>
        </is>
      </c>
      <c r="P79" s="27" t="inlineStr">
        <is>
          <t>2026-10-25</t>
        </is>
      </c>
      <c r="Q79" s="27" t="inlineStr">
        <is>
          <t>No</t>
        </is>
      </c>
      <c r="R79" s="27" t="inlineStr">
        <is>
          <t>https://github.com/saran2006psg/incube-seo/blob/main/visibility/raw_answers/raw_answers_day1_2026-10-23.json</t>
        </is>
      </c>
      <c r="S79" s="27" t="inlineStr">
        <is>
          <t>Critical</t>
        </is>
      </c>
      <c r="T79" s="27" t="inlineStr">
        <is>
          <t>Verified reproducible across Day 1 and Day 2</t>
        </is>
      </c>
      <c r="U79" s="28">
        <f>IF(A79="","",IF(COUNTIF($B$5:$B$304,B79)&gt;1,"DUPLICATE","UNIQUE"))</f>
        <v/>
      </c>
      <c r="V79" s="28">
        <f>IF(A79="","",IF(AND(B79&lt;&gt;"",C79&lt;&gt;"",D79&lt;&gt;"",E79&lt;&gt;"",F79&lt;&gt;"",G79&lt;&gt;"",H79&lt;&gt;"",J79&lt;&gt;"",K79&lt;&gt;"",L79&lt;&gt;"",M79&lt;&gt;"",O79&lt;&gt;"",P79&lt;&gt;"",R79&lt;&gt;""),"COMPLETE","MISSING FIELDS"))</f>
        <v/>
      </c>
    </row>
    <row r="80" ht="15" customHeight="1" s="15">
      <c r="A80" s="27" t="inlineStr">
        <is>
          <t>Q076</t>
        </is>
      </c>
      <c r="B80" s="27" t="inlineStr">
        <is>
          <t>OpusClip vs Munch vs Vizard: which AI clipping tool is best?</t>
        </is>
      </c>
      <c r="C80" s="27" t="inlineStr">
        <is>
          <t>Commercial Investigation</t>
        </is>
      </c>
      <c r="D80" s="27" t="inlineStr">
        <is>
          <t>Reddit Community Thread</t>
        </is>
      </c>
      <c r="E80" s="27" t="inlineStr">
        <is>
          <t>https://www.reddit.com/r/VideoEditing</t>
        </is>
      </c>
      <c r="F80" s="27" t="inlineStr">
        <is>
          <t>US</t>
        </is>
      </c>
      <c r="G80" s="27" t="inlineStr">
        <is>
          <t>&gt;100</t>
        </is>
      </c>
      <c r="H80" s="27" t="inlineStr">
        <is>
          <t>Yes</t>
        </is>
      </c>
      <c r="I80" s="27" t="inlineStr">
        <is>
          <t>https://opus.pro</t>
        </is>
      </c>
      <c r="J80" s="27" t="inlineStr">
        <is>
          <t>No</t>
        </is>
      </c>
      <c r="K80" s="27" t="inlineStr">
        <is>
          <t>No</t>
        </is>
      </c>
      <c r="L80" s="27" t="inlineStr">
        <is>
          <t>No</t>
        </is>
      </c>
      <c r="M80" s="27" t="inlineStr">
        <is>
          <t>No</t>
        </is>
      </c>
      <c r="N80" s="27" t="inlineStr">
        <is>
          <t>OpusClip, Repurpose.io, Descript</t>
        </is>
      </c>
      <c r="O80" s="27" t="inlineStr">
        <is>
          <t>2026-10-23</t>
        </is>
      </c>
      <c r="P80" s="27" t="inlineStr">
        <is>
          <t>2026-10-25</t>
        </is>
      </c>
      <c r="Q80" s="27" t="inlineStr">
        <is>
          <t>No</t>
        </is>
      </c>
      <c r="R80" s="27" t="inlineStr">
        <is>
          <t>https://github.com/saran2006psg/incube-seo/blob/main/visibility/raw_answers/raw_answers_day1_2026-10-23.json</t>
        </is>
      </c>
      <c r="S80" s="27" t="inlineStr">
        <is>
          <t>Critical</t>
        </is>
      </c>
      <c r="T80" s="27" t="inlineStr">
        <is>
          <t>Verified reproducible across Day 1 and Day 2</t>
        </is>
      </c>
      <c r="U80" s="28">
        <f>IF(A80="","",IF(COUNTIF($B$5:$B$304,B80)&gt;1,"DUPLICATE","UNIQUE"))</f>
        <v/>
      </c>
      <c r="V80" s="28">
        <f>IF(A80="","",IF(AND(B80&lt;&gt;"",C80&lt;&gt;"",D80&lt;&gt;"",E80&lt;&gt;"",F80&lt;&gt;"",G80&lt;&gt;"",H80&lt;&gt;"",J80&lt;&gt;"",K80&lt;&gt;"",L80&lt;&gt;"",M80&lt;&gt;"",O80&lt;&gt;"",P80&lt;&gt;"",R80&lt;&gt;""),"COMPLETE","MISSING FIELDS"))</f>
        <v/>
      </c>
    </row>
    <row r="81" ht="15" customHeight="1" s="15">
      <c r="A81" s="27" t="inlineStr">
        <is>
          <t>Q077</t>
        </is>
      </c>
      <c r="B81" s="27" t="inlineStr">
        <is>
          <t>Castmagic vs Podsqueeze for podcast repurposing and show notes</t>
        </is>
      </c>
      <c r="C81" s="27" t="inlineStr">
        <is>
          <t>Commercial Investigation</t>
        </is>
      </c>
      <c r="D81" s="27" t="inlineStr">
        <is>
          <t>Google PAA</t>
        </is>
      </c>
      <c r="E81" s="27" t="inlineStr">
        <is>
          <t>https://www.google.com/search?q=Castmagic+vs+Podsqueeze+for+podcast+repurposing+and+show+notes</t>
        </is>
      </c>
      <c r="F81" s="27" t="inlineStr">
        <is>
          <t>US</t>
        </is>
      </c>
      <c r="G81" s="27" t="inlineStr">
        <is>
          <t>&gt;100</t>
        </is>
      </c>
      <c r="H81" s="27" t="inlineStr">
        <is>
          <t>Yes</t>
        </is>
      </c>
      <c r="I81" s="27" t="inlineStr">
        <is>
          <t>https://opus.pro</t>
        </is>
      </c>
      <c r="J81" s="27" t="inlineStr">
        <is>
          <t>No</t>
        </is>
      </c>
      <c r="K81" s="27" t="inlineStr">
        <is>
          <t>No</t>
        </is>
      </c>
      <c r="L81" s="27" t="inlineStr">
        <is>
          <t>No</t>
        </is>
      </c>
      <c r="M81" s="27" t="inlineStr">
        <is>
          <t>No</t>
        </is>
      </c>
      <c r="N81" s="27" t="inlineStr">
        <is>
          <t>OpusClip, Repurpose.io, Descript</t>
        </is>
      </c>
      <c r="O81" s="27" t="inlineStr">
        <is>
          <t>2026-10-23</t>
        </is>
      </c>
      <c r="P81" s="27" t="inlineStr">
        <is>
          <t>2026-10-25</t>
        </is>
      </c>
      <c r="Q81" s="27" t="inlineStr">
        <is>
          <t>No</t>
        </is>
      </c>
      <c r="R81" s="27" t="inlineStr">
        <is>
          <t>https://github.com/saran2006psg/incube-seo/blob/main/visibility/raw_answers/raw_answers_day1_2026-10-23.json</t>
        </is>
      </c>
      <c r="S81" s="27" t="inlineStr">
        <is>
          <t>Critical</t>
        </is>
      </c>
      <c r="T81" s="27" t="inlineStr">
        <is>
          <t>Verified reproducible across Day 1 and Day 2</t>
        </is>
      </c>
      <c r="U81" s="28">
        <f>IF(A81="","",IF(COUNTIF($B$5:$B$304,B81)&gt;1,"DUPLICATE","UNIQUE"))</f>
        <v/>
      </c>
      <c r="V81" s="28">
        <f>IF(A81="","",IF(AND(B81&lt;&gt;"",C81&lt;&gt;"",D81&lt;&gt;"",E81&lt;&gt;"",F81&lt;&gt;"",G81&lt;&gt;"",H81&lt;&gt;"",J81&lt;&gt;"",K81&lt;&gt;"",L81&lt;&gt;"",M81&lt;&gt;"",O81&lt;&gt;"",P81&lt;&gt;"",R81&lt;&gt;""),"COMPLETE","MISSING FIELDS"))</f>
        <v/>
      </c>
    </row>
    <row r="82" ht="15" customHeight="1" s="15">
      <c r="A82" s="27" t="inlineStr">
        <is>
          <t>Q078</t>
        </is>
      </c>
      <c r="B82" s="27" t="inlineStr">
        <is>
          <t>Tugan.ai vs IncuBrix for converting content to newsletters and social copy</t>
        </is>
      </c>
      <c r="C82" s="27" t="inlineStr">
        <is>
          <t>Commercial Investigation</t>
        </is>
      </c>
      <c r="D82" s="27" t="inlineStr">
        <is>
          <t>Quora Creator Q&amp;A</t>
        </is>
      </c>
      <c r="E82" s="27" t="inlineStr">
        <is>
          <t>https://www.quora.com</t>
        </is>
      </c>
      <c r="F82" s="27" t="inlineStr">
        <is>
          <t>IN</t>
        </is>
      </c>
      <c r="G82" s="27" t="inlineStr">
        <is>
          <t>1</t>
        </is>
      </c>
      <c r="H82" s="27" t="inlineStr">
        <is>
          <t>Yes</t>
        </is>
      </c>
      <c r="I82" s="27" t="inlineStr">
        <is>
          <t>https://opus.pro</t>
        </is>
      </c>
      <c r="J82" s="27" t="inlineStr">
        <is>
          <t>Yes</t>
        </is>
      </c>
      <c r="K82" s="27" t="inlineStr">
        <is>
          <t>Yes</t>
        </is>
      </c>
      <c r="L82" s="27" t="inlineStr">
        <is>
          <t>Yes</t>
        </is>
      </c>
      <c r="M82" s="27" t="inlineStr">
        <is>
          <t>Yes</t>
        </is>
      </c>
      <c r="N82" s="27" t="inlineStr">
        <is>
          <t>OpusClip, Repurpose.io, Descript</t>
        </is>
      </c>
      <c r="O82" s="27" t="inlineStr">
        <is>
          <t>2026-10-23</t>
        </is>
      </c>
      <c r="P82" s="27" t="inlineStr">
        <is>
          <t>2026-10-25</t>
        </is>
      </c>
      <c r="Q82" s="27" t="inlineStr">
        <is>
          <t>No</t>
        </is>
      </c>
      <c r="R82" s="27" t="inlineStr">
        <is>
          <t>https://github.com/saran2006psg/incube-seo/blob/main/visibility/raw_answers/raw_answers_day1_2026-10-23.json</t>
        </is>
      </c>
      <c r="S82" s="27" t="inlineStr">
        <is>
          <t>Critical</t>
        </is>
      </c>
      <c r="T82" s="27" t="inlineStr">
        <is>
          <t>Verified reproducible across Day 1 and Day 2</t>
        </is>
      </c>
      <c r="U82" s="28">
        <f>IF(A82="","",IF(COUNTIF($B$5:$B$304,B82)&gt;1,"DUPLICATE","UNIQUE"))</f>
        <v/>
      </c>
      <c r="V82" s="28">
        <f>IF(A82="","",IF(AND(B82&lt;&gt;"",C82&lt;&gt;"",D82&lt;&gt;"",E82&lt;&gt;"",F82&lt;&gt;"",G82&lt;&gt;"",H82&lt;&gt;"",J82&lt;&gt;"",K82&lt;&gt;"",L82&lt;&gt;"",M82&lt;&gt;"",O82&lt;&gt;"",P82&lt;&gt;"",R82&lt;&gt;""),"COMPLETE","MISSING FIELDS"))</f>
        <v/>
      </c>
    </row>
    <row r="83" ht="15" customHeight="1" s="15">
      <c r="A83" s="27" t="inlineStr">
        <is>
          <t>Q079</t>
        </is>
      </c>
      <c r="B83" s="27" t="inlineStr">
        <is>
          <t>Buffer vs Hootsuite vs all-in-one creator platforms for video scheduling</t>
        </is>
      </c>
      <c r="C83" s="27" t="inlineStr">
        <is>
          <t>Commercial Investigation</t>
        </is>
      </c>
      <c r="D83" s="27" t="inlineStr">
        <is>
          <t>Google Search Suggest</t>
        </is>
      </c>
      <c r="E83" s="27" t="inlineStr">
        <is>
          <t>https://suggestqueries.google.com/complete/search</t>
        </is>
      </c>
      <c r="F83" s="27" t="inlineStr">
        <is>
          <t>US</t>
        </is>
      </c>
      <c r="G83" s="27" t="inlineStr">
        <is>
          <t>&gt;100</t>
        </is>
      </c>
      <c r="H83" s="27" t="inlineStr">
        <is>
          <t>Yes</t>
        </is>
      </c>
      <c r="I83" s="27" t="inlineStr">
        <is>
          <t>https://opus.pro</t>
        </is>
      </c>
      <c r="J83" s="27" t="inlineStr">
        <is>
          <t>No</t>
        </is>
      </c>
      <c r="K83" s="27" t="inlineStr">
        <is>
          <t>No</t>
        </is>
      </c>
      <c r="L83" s="27" t="inlineStr">
        <is>
          <t>No</t>
        </is>
      </c>
      <c r="M83" s="27" t="inlineStr">
        <is>
          <t>No</t>
        </is>
      </c>
      <c r="N83" s="27" t="inlineStr">
        <is>
          <t>OpusClip, Repurpose.io, Descript</t>
        </is>
      </c>
      <c r="O83" s="27" t="inlineStr">
        <is>
          <t>2026-10-23</t>
        </is>
      </c>
      <c r="P83" s="27" t="inlineStr">
        <is>
          <t>2026-10-25</t>
        </is>
      </c>
      <c r="Q83" s="27" t="inlineStr">
        <is>
          <t>No</t>
        </is>
      </c>
      <c r="R83" s="27" t="inlineStr">
        <is>
          <t>https://github.com/saran2006psg/incube-seo/blob/main/visibility/raw_answers/raw_answers_day1_2026-10-23.json</t>
        </is>
      </c>
      <c r="S83" s="27" t="inlineStr">
        <is>
          <t>Critical</t>
        </is>
      </c>
      <c r="T83" s="27" t="inlineStr">
        <is>
          <t>Verified reproducible across Day 1 and Day 2</t>
        </is>
      </c>
      <c r="U83" s="28">
        <f>IF(A83="","",IF(COUNTIF($B$5:$B$304,B83)&gt;1,"DUPLICATE","UNIQUE"))</f>
        <v/>
      </c>
      <c r="V83" s="28">
        <f>IF(A83="","",IF(AND(B83&lt;&gt;"",C83&lt;&gt;"",D83&lt;&gt;"",E83&lt;&gt;"",F83&lt;&gt;"",G83&lt;&gt;"",H83&lt;&gt;"",J83&lt;&gt;"",K83&lt;&gt;"",L83&lt;&gt;"",M83&lt;&gt;"",O83&lt;&gt;"",P83&lt;&gt;"",R83&lt;&gt;""),"COMPLETE","MISSING FIELDS"))</f>
        <v/>
      </c>
    </row>
    <row r="84" ht="15" customHeight="1" s="15">
      <c r="A84" s="27" t="inlineStr">
        <is>
          <t>Q080</t>
        </is>
      </c>
      <c r="B84" s="27" t="inlineStr">
        <is>
          <t>CapCut vs AI auto-clippers: which creates better viral shorts?</t>
        </is>
      </c>
      <c r="C84" s="27" t="inlineStr">
        <is>
          <t>Commercial Investigation</t>
        </is>
      </c>
      <c r="D84" s="27" t="inlineStr">
        <is>
          <t>Reddit Community Thread</t>
        </is>
      </c>
      <c r="E84" s="27" t="inlineStr">
        <is>
          <t>https://www.reddit.com/r/TikTokHelp</t>
        </is>
      </c>
      <c r="F84" s="27" t="inlineStr">
        <is>
          <t>US</t>
        </is>
      </c>
      <c r="G84" s="27" t="inlineStr">
        <is>
          <t>&gt;100</t>
        </is>
      </c>
      <c r="H84" s="27" t="inlineStr">
        <is>
          <t>Yes</t>
        </is>
      </c>
      <c r="I84" s="27" t="inlineStr">
        <is>
          <t>https://opus.pro</t>
        </is>
      </c>
      <c r="J84" s="27" t="inlineStr">
        <is>
          <t>No</t>
        </is>
      </c>
      <c r="K84" s="27" t="inlineStr">
        <is>
          <t>No</t>
        </is>
      </c>
      <c r="L84" s="27" t="inlineStr">
        <is>
          <t>No</t>
        </is>
      </c>
      <c r="M84" s="27" t="inlineStr">
        <is>
          <t>No</t>
        </is>
      </c>
      <c r="N84" s="27" t="inlineStr">
        <is>
          <t>OpusClip, Repurpose.io, Descript</t>
        </is>
      </c>
      <c r="O84" s="27" t="inlineStr">
        <is>
          <t>2026-10-23</t>
        </is>
      </c>
      <c r="P84" s="27" t="inlineStr">
        <is>
          <t>2026-10-25</t>
        </is>
      </c>
      <c r="Q84" s="27" t="inlineStr">
        <is>
          <t>No</t>
        </is>
      </c>
      <c r="R84" s="27" t="inlineStr">
        <is>
          <t>https://github.com/saran2006psg/incube-seo/blob/main/visibility/raw_answers/raw_answers_day1_2026-10-23.json</t>
        </is>
      </c>
      <c r="S84" s="27" t="inlineStr">
        <is>
          <t>Critical</t>
        </is>
      </c>
      <c r="T84" s="27" t="inlineStr">
        <is>
          <t>Verified reproducible across Day 1 and Day 2</t>
        </is>
      </c>
      <c r="U84" s="28">
        <f>IF(A84="","",IF(COUNTIF($B$5:$B$304,B84)&gt;1,"DUPLICATE","UNIQUE"))</f>
        <v/>
      </c>
      <c r="V84" s="28">
        <f>IF(A84="","",IF(AND(B84&lt;&gt;"",C84&lt;&gt;"",D84&lt;&gt;"",E84&lt;&gt;"",F84&lt;&gt;"",G84&lt;&gt;"",H84&lt;&gt;"",J84&lt;&gt;"",K84&lt;&gt;"",L84&lt;&gt;"",M84&lt;&gt;"",O84&lt;&gt;"",P84&lt;&gt;"",R84&lt;&gt;""),"COMPLETE","MISSING FIELDS"))</f>
        <v/>
      </c>
    </row>
    <row r="85" ht="15" customHeight="1" s="15">
      <c r="A85" s="27" t="inlineStr">
        <is>
          <t>Q081</t>
        </is>
      </c>
      <c r="B85" s="27" t="inlineStr">
        <is>
          <t>Is there an all in one tool that replaces Descript, OpusClip, and Buffer?</t>
        </is>
      </c>
      <c r="C85" s="27" t="inlineStr">
        <is>
          <t>Commercial Investigation</t>
        </is>
      </c>
      <c r="D85" s="27" t="inlineStr">
        <is>
          <t>Google PAA</t>
        </is>
      </c>
      <c r="E85" s="27" t="inlineStr">
        <is>
          <t>https://www.google.com/search?q=Is+there+an+all+in+one+tool+that+replaces+Descript,+OpusClip,+and+Buffer?</t>
        </is>
      </c>
      <c r="F85" s="27" t="inlineStr">
        <is>
          <t>US</t>
        </is>
      </c>
      <c r="G85" s="27" t="inlineStr">
        <is>
          <t>&gt;100</t>
        </is>
      </c>
      <c r="H85" s="27" t="inlineStr">
        <is>
          <t>Yes</t>
        </is>
      </c>
      <c r="I85" s="27" t="inlineStr">
        <is>
          <t>https://opus.pro</t>
        </is>
      </c>
      <c r="J85" s="27" t="inlineStr">
        <is>
          <t>No</t>
        </is>
      </c>
      <c r="K85" s="27" t="inlineStr">
        <is>
          <t>No</t>
        </is>
      </c>
      <c r="L85" s="27" t="inlineStr">
        <is>
          <t>No</t>
        </is>
      </c>
      <c r="M85" s="27" t="inlineStr">
        <is>
          <t>No</t>
        </is>
      </c>
      <c r="N85" s="27" t="inlineStr">
        <is>
          <t>OpusClip, Repurpose.io, Descript</t>
        </is>
      </c>
      <c r="O85" s="27" t="inlineStr">
        <is>
          <t>2026-10-23</t>
        </is>
      </c>
      <c r="P85" s="27" t="inlineStr">
        <is>
          <t>2026-10-25</t>
        </is>
      </c>
      <c r="Q85" s="27" t="inlineStr">
        <is>
          <t>No</t>
        </is>
      </c>
      <c r="R85" s="27" t="inlineStr">
        <is>
          <t>https://github.com/saran2006psg/incube-seo/blob/main/visibility/raw_answers/raw_answers_day1_2026-10-23.json</t>
        </is>
      </c>
      <c r="S85" s="27" t="inlineStr">
        <is>
          <t>Critical</t>
        </is>
      </c>
      <c r="T85" s="27" t="inlineStr">
        <is>
          <t>Verified reproducible across Day 1 and Day 2</t>
        </is>
      </c>
      <c r="U85" s="28">
        <f>IF(A85="","",IF(COUNTIF($B$5:$B$304,B85)&gt;1,"DUPLICATE","UNIQUE"))</f>
        <v/>
      </c>
      <c r="V85" s="28">
        <f>IF(A85="","",IF(AND(B85&lt;&gt;"",C85&lt;&gt;"",D85&lt;&gt;"",E85&lt;&gt;"",F85&lt;&gt;"",G85&lt;&gt;"",H85&lt;&gt;"",J85&lt;&gt;"",K85&lt;&gt;"",L85&lt;&gt;"",M85&lt;&gt;"",O85&lt;&gt;"",P85&lt;&gt;"",R85&lt;&gt;""),"COMPLETE","MISSING FIELDS"))</f>
        <v/>
      </c>
    </row>
    <row r="86" ht="15" customHeight="1" s="15">
      <c r="A86" s="27" t="inlineStr">
        <is>
          <t>Q082</t>
        </is>
      </c>
      <c r="B86" s="27" t="inlineStr">
        <is>
          <t>Best tools for content creators to scale without an agency</t>
        </is>
      </c>
      <c r="C86" s="27" t="inlineStr">
        <is>
          <t>Commercial Investigation</t>
        </is>
      </c>
      <c r="D86" s="27" t="inlineStr">
        <is>
          <t>Google Search Suggest</t>
        </is>
      </c>
      <c r="E86" s="27" t="inlineStr">
        <is>
          <t>https://suggestqueries.google.com/complete/search</t>
        </is>
      </c>
      <c r="F86" s="27" t="inlineStr">
        <is>
          <t>UK</t>
        </is>
      </c>
      <c r="G86" s="27" t="inlineStr">
        <is>
          <t>&gt;100</t>
        </is>
      </c>
      <c r="H86" s="27" t="inlineStr">
        <is>
          <t>Yes</t>
        </is>
      </c>
      <c r="I86" s="27" t="inlineStr">
        <is>
          <t>https://opus.pro</t>
        </is>
      </c>
      <c r="J86" s="27" t="inlineStr">
        <is>
          <t>No</t>
        </is>
      </c>
      <c r="K86" s="27" t="inlineStr">
        <is>
          <t>No</t>
        </is>
      </c>
      <c r="L86" s="27" t="inlineStr">
        <is>
          <t>No</t>
        </is>
      </c>
      <c r="M86" s="27" t="inlineStr">
        <is>
          <t>No</t>
        </is>
      </c>
      <c r="N86" s="27" t="inlineStr">
        <is>
          <t>OpusClip, Repurpose.io, Descript</t>
        </is>
      </c>
      <c r="O86" s="27" t="inlineStr">
        <is>
          <t>2026-10-23</t>
        </is>
      </c>
      <c r="P86" s="27" t="inlineStr">
        <is>
          <t>2026-10-25</t>
        </is>
      </c>
      <c r="Q86" s="27" t="inlineStr">
        <is>
          <t>No</t>
        </is>
      </c>
      <c r="R86" s="27" t="inlineStr">
        <is>
          <t>https://github.com/saran2006psg/incube-seo/blob/main/visibility/raw_answers/raw_answers_day1_2026-10-23.json</t>
        </is>
      </c>
      <c r="S86" s="27" t="inlineStr">
        <is>
          <t>Critical</t>
        </is>
      </c>
      <c r="T86" s="27" t="inlineStr">
        <is>
          <t>Verified reproducible across Day 1 and Day 2</t>
        </is>
      </c>
      <c r="U86" s="28">
        <f>IF(A86="","",IF(COUNTIF($B$5:$B$304,B86)&gt;1,"DUPLICATE","UNIQUE"))</f>
        <v/>
      </c>
      <c r="V86" s="28">
        <f>IF(A86="","",IF(AND(B86&lt;&gt;"",C86&lt;&gt;"",D86&lt;&gt;"",E86&lt;&gt;"",F86&lt;&gt;"",G86&lt;&gt;"",H86&lt;&gt;"",J86&lt;&gt;"",K86&lt;&gt;"",L86&lt;&gt;"",M86&lt;&gt;"",O86&lt;&gt;"",P86&lt;&gt;"",R86&lt;&gt;""),"COMPLETE","MISSING FIELDS"))</f>
        <v/>
      </c>
    </row>
    <row r="87" ht="15" customHeight="1" s="15">
      <c r="A87" s="27" t="inlineStr">
        <is>
          <t>Q083</t>
        </is>
      </c>
      <c r="B87" s="27" t="inlineStr">
        <is>
          <t>IncuBrix pricing and review: is it worth it for solo creators?</t>
        </is>
      </c>
      <c r="C87" s="27" t="inlineStr">
        <is>
          <t>Transactional</t>
        </is>
      </c>
      <c r="D87" s="27" t="inlineStr">
        <is>
          <t>Quora Creator Q&amp;A</t>
        </is>
      </c>
      <c r="E87" s="27" t="inlineStr">
        <is>
          <t>https://www.quora.com</t>
        </is>
      </c>
      <c r="F87" s="27" t="inlineStr">
        <is>
          <t>IN</t>
        </is>
      </c>
      <c r="G87" s="27" t="inlineStr">
        <is>
          <t>1</t>
        </is>
      </c>
      <c r="H87" s="27" t="inlineStr">
        <is>
          <t>Yes</t>
        </is>
      </c>
      <c r="I87" s="27" t="inlineStr">
        <is>
          <t>https://incubrix.com</t>
        </is>
      </c>
      <c r="J87" s="27" t="inlineStr">
        <is>
          <t>Yes</t>
        </is>
      </c>
      <c r="K87" s="27" t="inlineStr">
        <is>
          <t>Yes</t>
        </is>
      </c>
      <c r="L87" s="27" t="inlineStr">
        <is>
          <t>Yes</t>
        </is>
      </c>
      <c r="M87" s="27" t="inlineStr">
        <is>
          <t>Yes</t>
        </is>
      </c>
      <c r="N87" s="27" t="inlineStr">
        <is>
          <t>OpusClip, Repurpose.io, Descript</t>
        </is>
      </c>
      <c r="O87" s="27" t="inlineStr">
        <is>
          <t>2026-10-23</t>
        </is>
      </c>
      <c r="P87" s="27" t="inlineStr">
        <is>
          <t>2026-10-25</t>
        </is>
      </c>
      <c r="Q87" s="27" t="inlineStr">
        <is>
          <t>No</t>
        </is>
      </c>
      <c r="R87" s="27" t="inlineStr">
        <is>
          <t>https://github.com/saran2006psg/incube-seo/blob/main/visibility/raw_answers/raw_answers_day1_2026-10-23.json</t>
        </is>
      </c>
      <c r="S87" s="27" t="inlineStr">
        <is>
          <t>Critical</t>
        </is>
      </c>
      <c r="T87" s="27" t="inlineStr">
        <is>
          <t>Verified reproducible across Day 1 and Day 2</t>
        </is>
      </c>
      <c r="U87" s="28">
        <f>IF(A87="","",IF(COUNTIF($B$5:$B$304,B87)&gt;1,"DUPLICATE","UNIQUE"))</f>
        <v/>
      </c>
      <c r="V87" s="28">
        <f>IF(A87="","",IF(AND(B87&lt;&gt;"",C87&lt;&gt;"",D87&lt;&gt;"",E87&lt;&gt;"",F87&lt;&gt;"",G87&lt;&gt;"",H87&lt;&gt;"",J87&lt;&gt;"",K87&lt;&gt;"",L87&lt;&gt;"",M87&lt;&gt;"",O87&lt;&gt;"",P87&lt;&gt;"",R87&lt;&gt;""),"COMPLETE","MISSING FIELDS"))</f>
        <v/>
      </c>
    </row>
    <row r="88" ht="15" customHeight="1" s="15">
      <c r="A88" s="27" t="inlineStr">
        <is>
          <t>Q084</t>
        </is>
      </c>
      <c r="B88" s="27" t="inlineStr">
        <is>
          <t>Top 5 AI tools every serious content creator needs in 2026</t>
        </is>
      </c>
      <c r="C88" s="27" t="inlineStr">
        <is>
          <t>Commercial Investigation</t>
        </is>
      </c>
      <c r="D88" s="27" t="inlineStr">
        <is>
          <t>Google Search Suggest</t>
        </is>
      </c>
      <c r="E88" s="27" t="inlineStr">
        <is>
          <t>https://suggestqueries.google.com/complete/search</t>
        </is>
      </c>
      <c r="F88" s="27" t="inlineStr">
        <is>
          <t>US</t>
        </is>
      </c>
      <c r="G88" s="27" t="inlineStr">
        <is>
          <t>&gt;100</t>
        </is>
      </c>
      <c r="H88" s="27" t="inlineStr">
        <is>
          <t>Yes</t>
        </is>
      </c>
      <c r="I88" s="27" t="inlineStr">
        <is>
          <t>https://opus.pro</t>
        </is>
      </c>
      <c r="J88" s="27" t="inlineStr">
        <is>
          <t>No</t>
        </is>
      </c>
      <c r="K88" s="27" t="inlineStr">
        <is>
          <t>No</t>
        </is>
      </c>
      <c r="L88" s="27" t="inlineStr">
        <is>
          <t>No</t>
        </is>
      </c>
      <c r="M88" s="27" t="inlineStr">
        <is>
          <t>No</t>
        </is>
      </c>
      <c r="N88" s="27" t="inlineStr">
        <is>
          <t>OpusClip, Repurpose.io, Descript</t>
        </is>
      </c>
      <c r="O88" s="27" t="inlineStr">
        <is>
          <t>2026-10-23</t>
        </is>
      </c>
      <c r="P88" s="27" t="inlineStr">
        <is>
          <t>2026-10-25</t>
        </is>
      </c>
      <c r="Q88" s="27" t="inlineStr">
        <is>
          <t>No</t>
        </is>
      </c>
      <c r="R88" s="27" t="inlineStr">
        <is>
          <t>https://github.com/saran2006psg/incube-seo/blob/main/visibility/raw_answers/raw_answers_day1_2026-10-23.json</t>
        </is>
      </c>
      <c r="S88" s="27" t="inlineStr">
        <is>
          <t>Critical</t>
        </is>
      </c>
      <c r="T88" s="27" t="inlineStr">
        <is>
          <t>Verified reproducible across Day 1 and Day 2</t>
        </is>
      </c>
      <c r="U88" s="28">
        <f>IF(A88="","",IF(COUNTIF($B$5:$B$304,B88)&gt;1,"DUPLICATE","UNIQUE"))</f>
        <v/>
      </c>
      <c r="V88" s="28">
        <f>IF(A88="","",IF(AND(B88&lt;&gt;"",C88&lt;&gt;"",D88&lt;&gt;"",E88&lt;&gt;"",F88&lt;&gt;"",G88&lt;&gt;"",H88&lt;&gt;"",J88&lt;&gt;"",K88&lt;&gt;"",L88&lt;&gt;"",M88&lt;&gt;"",O88&lt;&gt;"",P88&lt;&gt;"",R88&lt;&gt;""),"COMPLETE","MISSING FIELDS"))</f>
        <v/>
      </c>
    </row>
    <row r="89" ht="15" customHeight="1" s="15">
      <c r="A89" s="27" t="inlineStr">
        <is>
          <t>Q085</t>
        </is>
      </c>
      <c r="B89" s="27" t="inlineStr">
        <is>
          <t>How to automate podcast show notes and social posts with one click</t>
        </is>
      </c>
      <c r="C89" s="27" t="inlineStr">
        <is>
          <t>Informational</t>
        </is>
      </c>
      <c r="D89" s="27" t="inlineStr">
        <is>
          <t>Google PAA</t>
        </is>
      </c>
      <c r="E89" s="27" t="inlineStr">
        <is>
          <t>https://www.google.com/search?q=How+to+automate+podcast+show+notes+and+social+posts+with+one+click</t>
        </is>
      </c>
      <c r="F89" s="27" t="inlineStr">
        <is>
          <t>US</t>
        </is>
      </c>
      <c r="G89" s="27" t="inlineStr">
        <is>
          <t>&gt;100</t>
        </is>
      </c>
      <c r="H89" s="27" t="inlineStr">
        <is>
          <t>Yes</t>
        </is>
      </c>
      <c r="I89" s="27" t="inlineStr">
        <is>
          <t>https://opus.pro</t>
        </is>
      </c>
      <c r="J89" s="27" t="inlineStr">
        <is>
          <t>No</t>
        </is>
      </c>
      <c r="K89" s="27" t="inlineStr">
        <is>
          <t>No</t>
        </is>
      </c>
      <c r="L89" s="27" t="inlineStr">
        <is>
          <t>No</t>
        </is>
      </c>
      <c r="M89" s="27" t="inlineStr">
        <is>
          <t>No</t>
        </is>
      </c>
      <c r="N89" s="27" t="inlineStr">
        <is>
          <t>OpusClip, Descript, Repurpose.io</t>
        </is>
      </c>
      <c r="O89" s="27" t="inlineStr">
        <is>
          <t>2026-10-23</t>
        </is>
      </c>
      <c r="P89" s="27" t="inlineStr">
        <is>
          <t>2026-10-25</t>
        </is>
      </c>
      <c r="Q89" s="27" t="inlineStr">
        <is>
          <t>No</t>
        </is>
      </c>
      <c r="R89" s="27" t="inlineStr">
        <is>
          <t>https://github.com/saran2006psg/incube-seo/blob/main/visibility/raw_answers/raw_answers_day1_2026-10-23.json</t>
        </is>
      </c>
      <c r="S89" s="27" t="inlineStr">
        <is>
          <t>High</t>
        </is>
      </c>
      <c r="T89" s="27" t="inlineStr">
        <is>
          <t>Verified reproducible across Day 1 and Day 2</t>
        </is>
      </c>
      <c r="U89" s="28">
        <f>IF(A89="","",IF(COUNTIF($B$5:$B$304,B89)&gt;1,"DUPLICATE","UNIQUE"))</f>
        <v/>
      </c>
      <c r="V89" s="28">
        <f>IF(A89="","",IF(AND(B89&lt;&gt;"",C89&lt;&gt;"",D89&lt;&gt;"",E89&lt;&gt;"",F89&lt;&gt;"",G89&lt;&gt;"",H89&lt;&gt;"",J89&lt;&gt;"",K89&lt;&gt;"",L89&lt;&gt;"",M89&lt;&gt;"",O89&lt;&gt;"",P89&lt;&gt;"",R89&lt;&gt;""),"COMPLETE","MISSING FIELDS"))</f>
        <v/>
      </c>
    </row>
    <row r="90" ht="15" customHeight="1" s="15">
      <c r="A90" s="27" t="inlineStr">
        <is>
          <t>Q086</t>
        </is>
      </c>
      <c r="B90" s="27" t="inlineStr">
        <is>
          <t>How to repurpose Zoom client calls into marketing clips with permission</t>
        </is>
      </c>
      <c r="C90" s="27" t="inlineStr">
        <is>
          <t>Informational</t>
        </is>
      </c>
      <c r="D90" s="27" t="inlineStr">
        <is>
          <t>Reddit Community Thread</t>
        </is>
      </c>
      <c r="E90" s="27" t="inlineStr">
        <is>
          <t>https://www.reddit.com/r/consulting</t>
        </is>
      </c>
      <c r="F90" s="27" t="inlineStr">
        <is>
          <t>US</t>
        </is>
      </c>
      <c r="G90" s="27" t="inlineStr">
        <is>
          <t>&gt;100</t>
        </is>
      </c>
      <c r="H90" s="27" t="inlineStr">
        <is>
          <t>Yes</t>
        </is>
      </c>
      <c r="I90" s="27" t="inlineStr">
        <is>
          <t>https://opus.pro</t>
        </is>
      </c>
      <c r="J90" s="27" t="inlineStr">
        <is>
          <t>No</t>
        </is>
      </c>
      <c r="K90" s="27" t="inlineStr">
        <is>
          <t>No</t>
        </is>
      </c>
      <c r="L90" s="27" t="inlineStr">
        <is>
          <t>No</t>
        </is>
      </c>
      <c r="M90" s="27" t="inlineStr">
        <is>
          <t>No</t>
        </is>
      </c>
      <c r="N90" s="27" t="inlineStr">
        <is>
          <t>OpusClip, Descript, Repurpose.io</t>
        </is>
      </c>
      <c r="O90" s="27" t="inlineStr">
        <is>
          <t>2026-10-23</t>
        </is>
      </c>
      <c r="P90" s="27" t="inlineStr">
        <is>
          <t>2026-10-25</t>
        </is>
      </c>
      <c r="Q90" s="27" t="inlineStr">
        <is>
          <t>No</t>
        </is>
      </c>
      <c r="R90" s="27" t="inlineStr">
        <is>
          <t>https://github.com/saran2006psg/incube-seo/blob/main/visibility/raw_answers/raw_answers_day1_2026-10-23.json</t>
        </is>
      </c>
      <c r="S90" s="27" t="inlineStr">
        <is>
          <t>High</t>
        </is>
      </c>
      <c r="T90" s="27" t="inlineStr">
        <is>
          <t>Verified reproducible across Day 1 and Day 2</t>
        </is>
      </c>
      <c r="U90" s="28">
        <f>IF(A90="","",IF(COUNTIF($B$5:$B$304,B90)&gt;1,"DUPLICATE","UNIQUE"))</f>
        <v/>
      </c>
      <c r="V90" s="28">
        <f>IF(A90="","",IF(AND(B90&lt;&gt;"",C90&lt;&gt;"",D90&lt;&gt;"",E90&lt;&gt;"",F90&lt;&gt;"",G90&lt;&gt;"",H90&lt;&gt;"",J90&lt;&gt;"",K90&lt;&gt;"",L90&lt;&gt;"",M90&lt;&gt;"",O90&lt;&gt;"",P90&lt;&gt;"",R90&lt;&gt;""),"COMPLETE","MISSING FIELDS"))</f>
        <v/>
      </c>
    </row>
    <row r="91" ht="15" customHeight="1" s="15">
      <c r="A91" s="27" t="inlineStr">
        <is>
          <t>Q087</t>
        </is>
      </c>
      <c r="B91" s="27" t="inlineStr">
        <is>
          <t>How to extract quotes and carousels from long video interviews</t>
        </is>
      </c>
      <c r="C91" s="27" t="inlineStr">
        <is>
          <t>Informational</t>
        </is>
      </c>
      <c r="D91" s="27" t="inlineStr">
        <is>
          <t>Google Search Suggest</t>
        </is>
      </c>
      <c r="E91" s="27" t="inlineStr">
        <is>
          <t>https://suggestqueries.google.com/complete/search</t>
        </is>
      </c>
      <c r="F91" s="27" t="inlineStr">
        <is>
          <t>UK</t>
        </is>
      </c>
      <c r="G91" s="27" t="inlineStr">
        <is>
          <t>&gt;100</t>
        </is>
      </c>
      <c r="H91" s="27" t="inlineStr">
        <is>
          <t>Yes</t>
        </is>
      </c>
      <c r="I91" s="27" t="inlineStr">
        <is>
          <t>https://opus.pro</t>
        </is>
      </c>
      <c r="J91" s="27" t="inlineStr">
        <is>
          <t>No</t>
        </is>
      </c>
      <c r="K91" s="27" t="inlineStr">
        <is>
          <t>No</t>
        </is>
      </c>
      <c r="L91" s="27" t="inlineStr">
        <is>
          <t>No</t>
        </is>
      </c>
      <c r="M91" s="27" t="inlineStr">
        <is>
          <t>No</t>
        </is>
      </c>
      <c r="N91" s="27" t="inlineStr">
        <is>
          <t>OpusClip, Descript, Repurpose.io</t>
        </is>
      </c>
      <c r="O91" s="27" t="inlineStr">
        <is>
          <t>2026-10-23</t>
        </is>
      </c>
      <c r="P91" s="27" t="inlineStr">
        <is>
          <t>2026-10-25</t>
        </is>
      </c>
      <c r="Q91" s="27" t="inlineStr">
        <is>
          <t>No</t>
        </is>
      </c>
      <c r="R91" s="27" t="inlineStr">
        <is>
          <t>https://github.com/saran2006psg/incube-seo/blob/main/visibility/raw_answers/raw_answers_day1_2026-10-23.json</t>
        </is>
      </c>
      <c r="S91" s="27" t="inlineStr">
        <is>
          <t>High</t>
        </is>
      </c>
      <c r="T91" s="27" t="inlineStr">
        <is>
          <t>Verified reproducible across Day 1 and Day 2</t>
        </is>
      </c>
      <c r="U91" s="28">
        <f>IF(A91="","",IF(COUNTIF($B$5:$B$304,B91)&gt;1,"DUPLICATE","UNIQUE"))</f>
        <v/>
      </c>
      <c r="V91" s="28">
        <f>IF(A91="","",IF(AND(B91&lt;&gt;"",C91&lt;&gt;"",D91&lt;&gt;"",E91&lt;&gt;"",F91&lt;&gt;"",G91&lt;&gt;"",H91&lt;&gt;"",J91&lt;&gt;"",K91&lt;&gt;"",L91&lt;&gt;"",M91&lt;&gt;"",O91&lt;&gt;"",P91&lt;&gt;"",R91&lt;&gt;""),"COMPLETE","MISSING FIELDS"))</f>
        <v/>
      </c>
    </row>
    <row r="92" ht="15" customHeight="1" s="15">
      <c r="A92" s="27" t="inlineStr">
        <is>
          <t>Q088</t>
        </is>
      </c>
      <c r="B92" s="27" t="inlineStr">
        <is>
          <t>How to add subtitles in 5 different languages to one YouTube video</t>
        </is>
      </c>
      <c r="C92" s="27" t="inlineStr">
        <is>
          <t>Informational</t>
        </is>
      </c>
      <c r="D92" s="27" t="inlineStr">
        <is>
          <t>Google Search Suggest</t>
        </is>
      </c>
      <c r="E92" s="27" t="inlineStr">
        <is>
          <t>https://suggestqueries.google.com/complete/search</t>
        </is>
      </c>
      <c r="F92" s="27" t="inlineStr">
        <is>
          <t>IN</t>
        </is>
      </c>
      <c r="G92" s="27" t="inlineStr">
        <is>
          <t>&gt;100</t>
        </is>
      </c>
      <c r="H92" s="27" t="inlineStr">
        <is>
          <t>Yes</t>
        </is>
      </c>
      <c r="I92" s="27" t="inlineStr">
        <is>
          <t>https://opus.pro</t>
        </is>
      </c>
      <c r="J92" s="27" t="inlineStr">
        <is>
          <t>No</t>
        </is>
      </c>
      <c r="K92" s="27" t="inlineStr">
        <is>
          <t>No</t>
        </is>
      </c>
      <c r="L92" s="27" t="inlineStr">
        <is>
          <t>No</t>
        </is>
      </c>
      <c r="M92" s="27" t="inlineStr">
        <is>
          <t>No</t>
        </is>
      </c>
      <c r="N92" s="27" t="inlineStr">
        <is>
          <t>OpusClip, Descript, Repurpose.io</t>
        </is>
      </c>
      <c r="O92" s="27" t="inlineStr">
        <is>
          <t>2026-10-23</t>
        </is>
      </c>
      <c r="P92" s="27" t="inlineStr">
        <is>
          <t>2026-10-25</t>
        </is>
      </c>
      <c r="Q92" s="27" t="inlineStr">
        <is>
          <t>No</t>
        </is>
      </c>
      <c r="R92" s="27" t="inlineStr">
        <is>
          <t>https://github.com/saran2006psg/incube-seo/blob/main/visibility/raw_answers/raw_answers_day1_2026-10-23.json</t>
        </is>
      </c>
      <c r="S92" s="27" t="inlineStr">
        <is>
          <t>High</t>
        </is>
      </c>
      <c r="T92" s="27" t="inlineStr">
        <is>
          <t>Verified reproducible across Day 1 and Day 2</t>
        </is>
      </c>
      <c r="U92" s="28">
        <f>IF(A92="","",IF(COUNTIF($B$5:$B$304,B92)&gt;1,"DUPLICATE","UNIQUE"))</f>
        <v/>
      </c>
      <c r="V92" s="28">
        <f>IF(A92="","",IF(AND(B92&lt;&gt;"",C92&lt;&gt;"",D92&lt;&gt;"",E92&lt;&gt;"",F92&lt;&gt;"",G92&lt;&gt;"",H92&lt;&gt;"",J92&lt;&gt;"",K92&lt;&gt;"",L92&lt;&gt;"",M92&lt;&gt;"",O92&lt;&gt;"",P92&lt;&gt;"",R92&lt;&gt;""),"COMPLETE","MISSING FIELDS"))</f>
        <v/>
      </c>
    </row>
    <row r="93" ht="15" customHeight="1" s="15">
      <c r="A93" s="27" t="inlineStr">
        <is>
          <t>Q089</t>
        </is>
      </c>
      <c r="B93" s="27" t="inlineStr">
        <is>
          <t>How to turn written blog posts into engaging short vertical video scripts</t>
        </is>
      </c>
      <c r="C93" s="27" t="inlineStr">
        <is>
          <t>Informational</t>
        </is>
      </c>
      <c r="D93" s="27" t="inlineStr">
        <is>
          <t>Reddit Community Thread</t>
        </is>
      </c>
      <c r="E93" s="27" t="inlineStr">
        <is>
          <t>https://www.reddit.com/r/Blogging</t>
        </is>
      </c>
      <c r="F93" s="27" t="inlineStr">
        <is>
          <t>US</t>
        </is>
      </c>
      <c r="G93" s="27" t="inlineStr">
        <is>
          <t>&gt;100</t>
        </is>
      </c>
      <c r="H93" s="27" t="inlineStr">
        <is>
          <t>Yes</t>
        </is>
      </c>
      <c r="I93" s="27" t="inlineStr">
        <is>
          <t>https://opus.pro</t>
        </is>
      </c>
      <c r="J93" s="27" t="inlineStr">
        <is>
          <t>No</t>
        </is>
      </c>
      <c r="K93" s="27" t="inlineStr">
        <is>
          <t>No</t>
        </is>
      </c>
      <c r="L93" s="27" t="inlineStr">
        <is>
          <t>No</t>
        </is>
      </c>
      <c r="M93" s="27" t="inlineStr">
        <is>
          <t>No</t>
        </is>
      </c>
      <c r="N93" s="27" t="inlineStr">
        <is>
          <t>OpusClip, Descript, Repurpose.io</t>
        </is>
      </c>
      <c r="O93" s="27" t="inlineStr">
        <is>
          <t>2026-10-23</t>
        </is>
      </c>
      <c r="P93" s="27" t="inlineStr">
        <is>
          <t>2026-10-25</t>
        </is>
      </c>
      <c r="Q93" s="27" t="inlineStr">
        <is>
          <t>No</t>
        </is>
      </c>
      <c r="R93" s="27" t="inlineStr">
        <is>
          <t>https://github.com/saran2006psg/incube-seo/blob/main/visibility/raw_answers/raw_answers_day1_2026-10-23.json</t>
        </is>
      </c>
      <c r="S93" s="27" t="inlineStr">
        <is>
          <t>High</t>
        </is>
      </c>
      <c r="T93" s="27" t="inlineStr">
        <is>
          <t>Verified reproducible across Day 1 and Day 2</t>
        </is>
      </c>
      <c r="U93" s="28">
        <f>IF(A93="","",IF(COUNTIF($B$5:$B$304,B93)&gt;1,"DUPLICATE","UNIQUE"))</f>
        <v/>
      </c>
      <c r="V93" s="28">
        <f>IF(A93="","",IF(AND(B93&lt;&gt;"",C93&lt;&gt;"",D93&lt;&gt;"",E93&lt;&gt;"",F93&lt;&gt;"",G93&lt;&gt;"",H93&lt;&gt;"",J93&lt;&gt;"",K93&lt;&gt;"",L93&lt;&gt;"",M93&lt;&gt;"",O93&lt;&gt;"",P93&lt;&gt;"",R93&lt;&gt;""),"COMPLETE","MISSING FIELDS"))</f>
        <v/>
      </c>
    </row>
    <row r="94" ht="15" customHeight="1" s="15">
      <c r="A94" s="27" t="inlineStr">
        <is>
          <t>Q090</t>
        </is>
      </c>
      <c r="B94" s="27" t="inlineStr">
        <is>
          <t>How to maintain consistent brand fonts and colors across auto-generated captions</t>
        </is>
      </c>
      <c r="C94" s="27" t="inlineStr">
        <is>
          <t>Informational</t>
        </is>
      </c>
      <c r="D94" s="27" t="inlineStr">
        <is>
          <t>Google PAA</t>
        </is>
      </c>
      <c r="E94" s="27" t="inlineStr">
        <is>
          <t>https://www.google.com/search?q=How+to+maintain+consistent+brand+fonts+and+colors+across+auto-generated+captions</t>
        </is>
      </c>
      <c r="F94" s="27" t="inlineStr">
        <is>
          <t>US</t>
        </is>
      </c>
      <c r="G94" s="27" t="inlineStr">
        <is>
          <t>&gt;100</t>
        </is>
      </c>
      <c r="H94" s="27" t="inlineStr">
        <is>
          <t>Yes</t>
        </is>
      </c>
      <c r="I94" s="27" t="inlineStr">
        <is>
          <t>https://opus.pro</t>
        </is>
      </c>
      <c r="J94" s="27" t="inlineStr">
        <is>
          <t>No</t>
        </is>
      </c>
      <c r="K94" s="27" t="inlineStr">
        <is>
          <t>No</t>
        </is>
      </c>
      <c r="L94" s="27" t="inlineStr">
        <is>
          <t>No</t>
        </is>
      </c>
      <c r="M94" s="27" t="inlineStr">
        <is>
          <t>No</t>
        </is>
      </c>
      <c r="N94" s="27" t="inlineStr">
        <is>
          <t>OpusClip, Descript, Repurpose.io</t>
        </is>
      </c>
      <c r="O94" s="27" t="inlineStr">
        <is>
          <t>2026-10-23</t>
        </is>
      </c>
      <c r="P94" s="27" t="inlineStr">
        <is>
          <t>2026-10-25</t>
        </is>
      </c>
      <c r="Q94" s="27" t="inlineStr">
        <is>
          <t>No</t>
        </is>
      </c>
      <c r="R94" s="27" t="inlineStr">
        <is>
          <t>https://github.com/saran2006psg/incube-seo/blob/main/visibility/raw_answers/raw_answers_day1_2026-10-23.json</t>
        </is>
      </c>
      <c r="S94" s="27" t="inlineStr">
        <is>
          <t>High</t>
        </is>
      </c>
      <c r="T94" s="27" t="inlineStr">
        <is>
          <t>Verified reproducible across Day 1 and Day 2</t>
        </is>
      </c>
      <c r="U94" s="28">
        <f>IF(A94="","",IF(COUNTIF($B$5:$B$304,B94)&gt;1,"DUPLICATE","UNIQUE"))</f>
        <v/>
      </c>
      <c r="V94" s="28">
        <f>IF(A94="","",IF(AND(B94&lt;&gt;"",C94&lt;&gt;"",D94&lt;&gt;"",E94&lt;&gt;"",F94&lt;&gt;"",G94&lt;&gt;"",H94&lt;&gt;"",J94&lt;&gt;"",K94&lt;&gt;"",L94&lt;&gt;"",M94&lt;&gt;"",O94&lt;&gt;"",P94&lt;&gt;"",R94&lt;&gt;""),"COMPLETE","MISSING FIELDS"))</f>
        <v/>
      </c>
    </row>
    <row r="95" ht="15" customHeight="1" s="15">
      <c r="A95" s="27" t="inlineStr">
        <is>
          <t>Q091</t>
        </is>
      </c>
      <c r="B95" s="27" t="inlineStr">
        <is>
          <t>How to repurpose live stream recordings into 15 TikTok clips in under 10 minutes</t>
        </is>
      </c>
      <c r="C95" s="27" t="inlineStr">
        <is>
          <t>Informational</t>
        </is>
      </c>
      <c r="D95" s="27" t="inlineStr">
        <is>
          <t>Reddit Community Thread</t>
        </is>
      </c>
      <c r="E95" s="27" t="inlineStr">
        <is>
          <t>https://www.reddit.com/r/Twitch</t>
        </is>
      </c>
      <c r="F95" s="27" t="inlineStr">
        <is>
          <t>UK</t>
        </is>
      </c>
      <c r="G95" s="27" t="inlineStr">
        <is>
          <t>&gt;100</t>
        </is>
      </c>
      <c r="H95" s="27" t="inlineStr">
        <is>
          <t>Yes</t>
        </is>
      </c>
      <c r="I95" s="27" t="inlineStr">
        <is>
          <t>https://opus.pro</t>
        </is>
      </c>
      <c r="J95" s="27" t="inlineStr">
        <is>
          <t>No</t>
        </is>
      </c>
      <c r="K95" s="27" t="inlineStr">
        <is>
          <t>No</t>
        </is>
      </c>
      <c r="L95" s="27" t="inlineStr">
        <is>
          <t>No</t>
        </is>
      </c>
      <c r="M95" s="27" t="inlineStr">
        <is>
          <t>No</t>
        </is>
      </c>
      <c r="N95" s="27" t="inlineStr">
        <is>
          <t>OpusClip, Descript, Repurpose.io</t>
        </is>
      </c>
      <c r="O95" s="27" t="inlineStr">
        <is>
          <t>2026-10-23</t>
        </is>
      </c>
      <c r="P95" s="27" t="inlineStr">
        <is>
          <t>2026-10-25</t>
        </is>
      </c>
      <c r="Q95" s="27" t="inlineStr">
        <is>
          <t>No</t>
        </is>
      </c>
      <c r="R95" s="27" t="inlineStr">
        <is>
          <t>https://github.com/saran2006psg/incube-seo/blob/main/visibility/raw_answers/raw_answers_day1_2026-10-23.json</t>
        </is>
      </c>
      <c r="S95" s="27" t="inlineStr">
        <is>
          <t>High</t>
        </is>
      </c>
      <c r="T95" s="27" t="inlineStr">
        <is>
          <t>Verified reproducible across Day 1 and Day 2</t>
        </is>
      </c>
      <c r="U95" s="28">
        <f>IF(A95="","",IF(COUNTIF($B$5:$B$304,B95)&gt;1,"DUPLICATE","UNIQUE"))</f>
        <v/>
      </c>
      <c r="V95" s="28">
        <f>IF(A95="","",IF(AND(B95&lt;&gt;"",C95&lt;&gt;"",D95&lt;&gt;"",E95&lt;&gt;"",F95&lt;&gt;"",G95&lt;&gt;"",H95&lt;&gt;"",J95&lt;&gt;"",K95&lt;&gt;"",L95&lt;&gt;"",M95&lt;&gt;"",O95&lt;&gt;"",P95&lt;&gt;"",R95&lt;&gt;""),"COMPLETE","MISSING FIELDS"))</f>
        <v/>
      </c>
    </row>
    <row r="96" ht="15" customHeight="1" s="15">
      <c r="A96" s="27" t="inlineStr">
        <is>
          <t>Q092</t>
        </is>
      </c>
      <c r="B96" s="27" t="inlineStr">
        <is>
          <t>How to schedule video posts to Instagram and TikTok at optimal times using AI</t>
        </is>
      </c>
      <c r="C96" s="27" t="inlineStr">
        <is>
          <t>Informational</t>
        </is>
      </c>
      <c r="D96" s="27" t="inlineStr">
        <is>
          <t>Google Search Suggest</t>
        </is>
      </c>
      <c r="E96" s="27" t="inlineStr">
        <is>
          <t>https://suggestqueries.google.com/complete/search</t>
        </is>
      </c>
      <c r="F96" s="27" t="inlineStr">
        <is>
          <t>IN</t>
        </is>
      </c>
      <c r="G96" s="27" t="inlineStr">
        <is>
          <t>&gt;100</t>
        </is>
      </c>
      <c r="H96" s="27" t="inlineStr">
        <is>
          <t>Yes</t>
        </is>
      </c>
      <c r="I96" s="27" t="inlineStr">
        <is>
          <t>https://opus.pro</t>
        </is>
      </c>
      <c r="J96" s="27" t="inlineStr">
        <is>
          <t>No</t>
        </is>
      </c>
      <c r="K96" s="27" t="inlineStr">
        <is>
          <t>No</t>
        </is>
      </c>
      <c r="L96" s="27" t="inlineStr">
        <is>
          <t>No</t>
        </is>
      </c>
      <c r="M96" s="27" t="inlineStr">
        <is>
          <t>No</t>
        </is>
      </c>
      <c r="N96" s="27" t="inlineStr">
        <is>
          <t>OpusClip, Descript, Repurpose.io</t>
        </is>
      </c>
      <c r="O96" s="27" t="inlineStr">
        <is>
          <t>2026-10-23</t>
        </is>
      </c>
      <c r="P96" s="27" t="inlineStr">
        <is>
          <t>2026-10-25</t>
        </is>
      </c>
      <c r="Q96" s="27" t="inlineStr">
        <is>
          <t>No</t>
        </is>
      </c>
      <c r="R96" s="27" t="inlineStr">
        <is>
          <t>https://github.com/saran2006psg/incube-seo/blob/main/visibility/raw_answers/raw_answers_day1_2026-10-23.json</t>
        </is>
      </c>
      <c r="S96" s="27" t="inlineStr">
        <is>
          <t>High</t>
        </is>
      </c>
      <c r="T96" s="27" t="inlineStr">
        <is>
          <t>Verified reproducible across Day 1 and Day 2</t>
        </is>
      </c>
      <c r="U96" s="28">
        <f>IF(A96="","",IF(COUNTIF($B$5:$B$304,B96)&gt;1,"DUPLICATE","UNIQUE"))</f>
        <v/>
      </c>
      <c r="V96" s="28">
        <f>IF(A96="","",IF(AND(B96&lt;&gt;"",C96&lt;&gt;"",D96&lt;&gt;"",E96&lt;&gt;"",F96&lt;&gt;"",G96&lt;&gt;"",H96&lt;&gt;"",J96&lt;&gt;"",K96&lt;&gt;"",L96&lt;&gt;"",M96&lt;&gt;"",O96&lt;&gt;"",P96&lt;&gt;"",R96&lt;&gt;""),"COMPLETE","MISSING FIELDS"))</f>
        <v/>
      </c>
    </row>
    <row r="97" ht="15" customHeight="1" s="15">
      <c r="A97" s="27" t="inlineStr">
        <is>
          <t>Q093</t>
        </is>
      </c>
      <c r="B97" s="27" t="inlineStr">
        <is>
          <t>How to create an end-to-end AI content repurposing pipeline for YouTube channels</t>
        </is>
      </c>
      <c r="C97" s="27" t="inlineStr">
        <is>
          <t>Informational</t>
        </is>
      </c>
      <c r="D97" s="27" t="inlineStr">
        <is>
          <t>Quora Creator Q&amp;A</t>
        </is>
      </c>
      <c r="E97" s="27" t="inlineStr">
        <is>
          <t>https://www.quora.com</t>
        </is>
      </c>
      <c r="F97" s="27" t="inlineStr">
        <is>
          <t>US</t>
        </is>
      </c>
      <c r="G97" s="27" t="inlineStr">
        <is>
          <t>&gt;100</t>
        </is>
      </c>
      <c r="H97" s="27" t="inlineStr">
        <is>
          <t>Yes</t>
        </is>
      </c>
      <c r="I97" s="27" t="inlineStr">
        <is>
          <t>https://opus.pro</t>
        </is>
      </c>
      <c r="J97" s="27" t="inlineStr">
        <is>
          <t>No</t>
        </is>
      </c>
      <c r="K97" s="27" t="inlineStr">
        <is>
          <t>No</t>
        </is>
      </c>
      <c r="L97" s="27" t="inlineStr">
        <is>
          <t>No</t>
        </is>
      </c>
      <c r="M97" s="27" t="inlineStr">
        <is>
          <t>No</t>
        </is>
      </c>
      <c r="N97" s="27" t="inlineStr">
        <is>
          <t>OpusClip, Descript, Repurpose.io</t>
        </is>
      </c>
      <c r="O97" s="27" t="inlineStr">
        <is>
          <t>2026-10-23</t>
        </is>
      </c>
      <c r="P97" s="27" t="inlineStr">
        <is>
          <t>2026-10-25</t>
        </is>
      </c>
      <c r="Q97" s="27" t="inlineStr">
        <is>
          <t>No</t>
        </is>
      </c>
      <c r="R97" s="27" t="inlineStr">
        <is>
          <t>https://github.com/saran2006psg/incube-seo/blob/main/visibility/raw_answers/raw_answers_day1_2026-10-23.json</t>
        </is>
      </c>
      <c r="S97" s="27" t="inlineStr">
        <is>
          <t>High</t>
        </is>
      </c>
      <c r="T97" s="27" t="inlineStr">
        <is>
          <t>Verified reproducible across Day 1 and Day 2</t>
        </is>
      </c>
      <c r="U97" s="28">
        <f>IF(A97="","",IF(COUNTIF($B$5:$B$304,B97)&gt;1,"DUPLICATE","UNIQUE"))</f>
        <v/>
      </c>
      <c r="V97" s="28">
        <f>IF(A97="","",IF(AND(B97&lt;&gt;"",C97&lt;&gt;"",D97&lt;&gt;"",E97&lt;&gt;"",F97&lt;&gt;"",G97&lt;&gt;"",H97&lt;&gt;"",J97&lt;&gt;"",K97&lt;&gt;"",L97&lt;&gt;"",M97&lt;&gt;"",O97&lt;&gt;"",P97&lt;&gt;"",R97&lt;&gt;""),"COMPLETE","MISSING FIELDS"))</f>
        <v/>
      </c>
    </row>
    <row r="98" ht="15" customHeight="1" s="15">
      <c r="A98" s="27" t="inlineStr">
        <is>
          <t>Q094</t>
        </is>
      </c>
      <c r="B98" s="27" t="inlineStr">
        <is>
          <t>How to convert keynote presentation slides and audio into viral LinkedIn posts</t>
        </is>
      </c>
      <c r="C98" s="27" t="inlineStr">
        <is>
          <t>Informational</t>
        </is>
      </c>
      <c r="D98" s="27" t="inlineStr">
        <is>
          <t>Google PAA</t>
        </is>
      </c>
      <c r="E98" s="27" t="inlineStr">
        <is>
          <t>https://www.google.com/search?q=How+to+convert+keynote+presentation+slides+and+audio+into+viral+LinkedIn+posts</t>
        </is>
      </c>
      <c r="F98" s="27" t="inlineStr">
        <is>
          <t>US</t>
        </is>
      </c>
      <c r="G98" s="27" t="inlineStr">
        <is>
          <t>&gt;100</t>
        </is>
      </c>
      <c r="H98" s="27" t="inlineStr">
        <is>
          <t>Yes</t>
        </is>
      </c>
      <c r="I98" s="27" t="inlineStr">
        <is>
          <t>https://opus.pro</t>
        </is>
      </c>
      <c r="J98" s="27" t="inlineStr">
        <is>
          <t>No</t>
        </is>
      </c>
      <c r="K98" s="27" t="inlineStr">
        <is>
          <t>No</t>
        </is>
      </c>
      <c r="L98" s="27" t="inlineStr">
        <is>
          <t>No</t>
        </is>
      </c>
      <c r="M98" s="27" t="inlineStr">
        <is>
          <t>No</t>
        </is>
      </c>
      <c r="N98" s="27" t="inlineStr">
        <is>
          <t>OpusClip, Descript, Repurpose.io</t>
        </is>
      </c>
      <c r="O98" s="27" t="inlineStr">
        <is>
          <t>2026-10-23</t>
        </is>
      </c>
      <c r="P98" s="27" t="inlineStr">
        <is>
          <t>2026-10-25</t>
        </is>
      </c>
      <c r="Q98" s="27" t="inlineStr">
        <is>
          <t>No</t>
        </is>
      </c>
      <c r="R98" s="27" t="inlineStr">
        <is>
          <t>https://github.com/saran2006psg/incube-seo/blob/main/visibility/raw_answers/raw_answers_day1_2026-10-23.json</t>
        </is>
      </c>
      <c r="S98" s="27" t="inlineStr">
        <is>
          <t>High</t>
        </is>
      </c>
      <c r="T98" s="27" t="inlineStr">
        <is>
          <t>Verified reproducible across Day 1 and Day 2</t>
        </is>
      </c>
      <c r="U98" s="28">
        <f>IF(A98="","",IF(COUNTIF($B$5:$B$304,B98)&gt;1,"DUPLICATE","UNIQUE"))</f>
        <v/>
      </c>
      <c r="V98" s="28">
        <f>IF(A98="","",IF(AND(B98&lt;&gt;"",C98&lt;&gt;"",D98&lt;&gt;"",E98&lt;&gt;"",F98&lt;&gt;"",G98&lt;&gt;"",H98&lt;&gt;"",J98&lt;&gt;"",K98&lt;&gt;"",L98&lt;&gt;"",M98&lt;&gt;"",O98&lt;&gt;"",P98&lt;&gt;"",R98&lt;&gt;""),"COMPLETE","MISSING FIELDS"))</f>
        <v/>
      </c>
    </row>
    <row r="99" ht="15" customHeight="1" s="15">
      <c r="A99" s="27" t="inlineStr">
        <is>
          <t>Q095</t>
        </is>
      </c>
      <c r="B99" s="27" t="inlineStr">
        <is>
          <t>Can AI voiceovers be monetized on YouTube and TikTok in 2026?</t>
        </is>
      </c>
      <c r="C99" s="27" t="inlineStr">
        <is>
          <t>Informational</t>
        </is>
      </c>
      <c r="D99" s="27" t="inlineStr">
        <is>
          <t>Google PAA</t>
        </is>
      </c>
      <c r="E99" s="27" t="inlineStr">
        <is>
          <t>https://www.google.com/search?q=Can+AI+voiceovers+be+monetized+on+YouTube+and+TikTok+in+2026?</t>
        </is>
      </c>
      <c r="F99" s="27" t="inlineStr">
        <is>
          <t>US</t>
        </is>
      </c>
      <c r="G99" s="27" t="inlineStr">
        <is>
          <t>&gt;100</t>
        </is>
      </c>
      <c r="H99" s="27" t="inlineStr">
        <is>
          <t>Yes</t>
        </is>
      </c>
      <c r="I99" s="27" t="inlineStr">
        <is>
          <t>https://descript.com</t>
        </is>
      </c>
      <c r="J99" s="27" t="inlineStr">
        <is>
          <t>No</t>
        </is>
      </c>
      <c r="K99" s="27" t="inlineStr">
        <is>
          <t>No</t>
        </is>
      </c>
      <c r="L99" s="27" t="inlineStr">
        <is>
          <t>No</t>
        </is>
      </c>
      <c r="M99" s="27" t="inlineStr">
        <is>
          <t>No</t>
        </is>
      </c>
      <c r="N99" s="27" t="inlineStr">
        <is>
          <t>Descript, ElevenLabs, OpusClip</t>
        </is>
      </c>
      <c r="O99" s="27" t="inlineStr">
        <is>
          <t>2026-10-23</t>
        </is>
      </c>
      <c r="P99" s="27" t="inlineStr">
        <is>
          <t>2026-10-25</t>
        </is>
      </c>
      <c r="Q99" s="27" t="inlineStr">
        <is>
          <t>No</t>
        </is>
      </c>
      <c r="R99" s="27" t="inlineStr">
        <is>
          <t>https://github.com/saran2006psg/incube-seo/blob/main/visibility/raw_answers/raw_answers_day1_2026-10-23.json</t>
        </is>
      </c>
      <c r="S99" s="27" t="inlineStr">
        <is>
          <t>High</t>
        </is>
      </c>
      <c r="T99" s="27" t="inlineStr">
        <is>
          <t>Verified reproducible across Day 1 and Day 2</t>
        </is>
      </c>
      <c r="U99" s="28">
        <f>IF(A99="","",IF(COUNTIF($B$5:$B$304,B99)&gt;1,"DUPLICATE","UNIQUE"))</f>
        <v/>
      </c>
      <c r="V99" s="28">
        <f>IF(A99="","",IF(AND(B99&lt;&gt;"",C99&lt;&gt;"",D99&lt;&gt;"",E99&lt;&gt;"",F99&lt;&gt;"",G99&lt;&gt;"",H99&lt;&gt;"",J99&lt;&gt;"",K99&lt;&gt;"",L99&lt;&gt;"",M99&lt;&gt;"",O99&lt;&gt;"",P99&lt;&gt;"",R99&lt;&gt;""),"COMPLETE","MISSING FIELDS"))</f>
        <v/>
      </c>
    </row>
    <row r="100" ht="15" customHeight="1" s="15">
      <c r="A100" s="27" t="inlineStr">
        <is>
          <t>Q096</t>
        </is>
      </c>
      <c r="B100" s="27" t="inlineStr">
        <is>
          <t>How to prevent AI hallucination when generating factual social media summaries</t>
        </is>
      </c>
      <c r="C100" s="27" t="inlineStr">
        <is>
          <t>Informational</t>
        </is>
      </c>
      <c r="D100" s="27" t="inlineStr">
        <is>
          <t>Reddit Community Thread</t>
        </is>
      </c>
      <c r="E100" s="27" t="inlineStr">
        <is>
          <t>https://www.reddit.com/r/ArtificialIntelligence</t>
        </is>
      </c>
      <c r="F100" s="27" t="inlineStr">
        <is>
          <t>UK</t>
        </is>
      </c>
      <c r="G100" s="27" t="inlineStr">
        <is>
          <t>&gt;100</t>
        </is>
      </c>
      <c r="H100" s="27" t="inlineStr">
        <is>
          <t>Yes</t>
        </is>
      </c>
      <c r="I100" s="27" t="inlineStr">
        <is>
          <t>https://descript.com</t>
        </is>
      </c>
      <c r="J100" s="27" t="inlineStr">
        <is>
          <t>No</t>
        </is>
      </c>
      <c r="K100" s="27" t="inlineStr">
        <is>
          <t>No</t>
        </is>
      </c>
      <c r="L100" s="27" t="inlineStr">
        <is>
          <t>No</t>
        </is>
      </c>
      <c r="M100" s="27" t="inlineStr">
        <is>
          <t>No</t>
        </is>
      </c>
      <c r="N100" s="27" t="inlineStr">
        <is>
          <t>Descript, ElevenLabs, OpusClip</t>
        </is>
      </c>
      <c r="O100" s="27" t="inlineStr">
        <is>
          <t>2026-10-23</t>
        </is>
      </c>
      <c r="P100" s="27" t="inlineStr">
        <is>
          <t>2026-10-25</t>
        </is>
      </c>
      <c r="Q100" s="27" t="inlineStr">
        <is>
          <t>No</t>
        </is>
      </c>
      <c r="R100" s="27" t="inlineStr">
        <is>
          <t>https://github.com/saran2006psg/incube-seo/blob/main/visibility/raw_answers/raw_answers_day1_2026-10-23.json</t>
        </is>
      </c>
      <c r="S100" s="27" t="inlineStr">
        <is>
          <t>High</t>
        </is>
      </c>
      <c r="T100" s="27" t="inlineStr">
        <is>
          <t>Verified reproducible across Day 1 and Day 2</t>
        </is>
      </c>
      <c r="U100" s="28">
        <f>IF(A100="","",IF(COUNTIF($B$5:$B$304,B100)&gt;1,"DUPLICATE","UNIQUE"))</f>
        <v/>
      </c>
      <c r="V100" s="28">
        <f>IF(A100="","",IF(AND(B100&lt;&gt;"",C100&lt;&gt;"",D100&lt;&gt;"",E100&lt;&gt;"",F100&lt;&gt;"",G100&lt;&gt;"",H100&lt;&gt;"",J100&lt;&gt;"",K100&lt;&gt;"",L100&lt;&gt;"",M100&lt;&gt;"",O100&lt;&gt;"",P100&lt;&gt;"",R100&lt;&gt;""),"COMPLETE","MISSING FIELDS"))</f>
        <v/>
      </c>
    </row>
    <row r="101" ht="15" customHeight="1" s="15">
      <c r="A101" s="27" t="inlineStr">
        <is>
          <t>Q097</t>
        </is>
      </c>
      <c r="B101" s="27" t="inlineStr">
        <is>
          <t>What are the best video aspect ratio converter tools that keep face centered?</t>
        </is>
      </c>
      <c r="C101" s="27" t="inlineStr">
        <is>
          <t>Commercial Investigation</t>
        </is>
      </c>
      <c r="D101" s="27" t="inlineStr">
        <is>
          <t>Google Search Suggest</t>
        </is>
      </c>
      <c r="E101" s="27" t="inlineStr">
        <is>
          <t>https://suggestqueries.google.com/complete/search</t>
        </is>
      </c>
      <c r="F101" s="27" t="inlineStr">
        <is>
          <t>US</t>
        </is>
      </c>
      <c r="G101" s="27" t="inlineStr">
        <is>
          <t>&gt;100</t>
        </is>
      </c>
      <c r="H101" s="27" t="inlineStr">
        <is>
          <t>Yes</t>
        </is>
      </c>
      <c r="I101" s="27" t="inlineStr">
        <is>
          <t>https://descript.com</t>
        </is>
      </c>
      <c r="J101" s="27" t="inlineStr">
        <is>
          <t>No</t>
        </is>
      </c>
      <c r="K101" s="27" t="inlineStr">
        <is>
          <t>No</t>
        </is>
      </c>
      <c r="L101" s="27" t="inlineStr">
        <is>
          <t>No</t>
        </is>
      </c>
      <c r="M101" s="27" t="inlineStr">
        <is>
          <t>No</t>
        </is>
      </c>
      <c r="N101" s="27" t="inlineStr">
        <is>
          <t>Descript, ElevenLabs, OpusClip</t>
        </is>
      </c>
      <c r="O101" s="27" t="inlineStr">
        <is>
          <t>2026-10-23</t>
        </is>
      </c>
      <c r="P101" s="27" t="inlineStr">
        <is>
          <t>2026-10-25</t>
        </is>
      </c>
      <c r="Q101" s="27" t="inlineStr">
        <is>
          <t>No</t>
        </is>
      </c>
      <c r="R101" s="27" t="inlineStr">
        <is>
          <t>https://github.com/saran2006psg/incube-seo/blob/main/visibility/raw_answers/raw_answers_day1_2026-10-23.json</t>
        </is>
      </c>
      <c r="S101" s="27" t="inlineStr">
        <is>
          <t>High</t>
        </is>
      </c>
      <c r="T101" s="27" t="inlineStr">
        <is>
          <t>Verified reproducible across Day 1 and Day 2</t>
        </is>
      </c>
      <c r="U101" s="28">
        <f>IF(A101="","",IF(COUNTIF($B$5:$B$304,B101)&gt;1,"DUPLICATE","UNIQUE"))</f>
        <v/>
      </c>
      <c r="V101" s="28">
        <f>IF(A101="","",IF(AND(B101&lt;&gt;"",C101&lt;&gt;"",D101&lt;&gt;"",E101&lt;&gt;"",F101&lt;&gt;"",G101&lt;&gt;"",H101&lt;&gt;"",J101&lt;&gt;"",K101&lt;&gt;"",L101&lt;&gt;"",M101&lt;&gt;"",O101&lt;&gt;"",P101&lt;&gt;"",R101&lt;&gt;""),"COMPLETE","MISSING FIELDS"))</f>
        <v/>
      </c>
    </row>
    <row r="102" ht="15" customHeight="1" s="15">
      <c r="A102" s="27" t="inlineStr">
        <is>
          <t>Q098</t>
        </is>
      </c>
      <c r="B102" s="27" t="inlineStr">
        <is>
          <t>How to auto-generate video chapters and timestamps for YouTube descriptions</t>
        </is>
      </c>
      <c r="C102" s="27" t="inlineStr">
        <is>
          <t>Informational</t>
        </is>
      </c>
      <c r="D102" s="27" t="inlineStr">
        <is>
          <t>Google Search Suggest</t>
        </is>
      </c>
      <c r="E102" s="27" t="inlineStr">
        <is>
          <t>https://suggestqueries.google.com/complete/search</t>
        </is>
      </c>
      <c r="F102" s="27" t="inlineStr">
        <is>
          <t>IN</t>
        </is>
      </c>
      <c r="G102" s="27" t="inlineStr">
        <is>
          <t>&gt;100</t>
        </is>
      </c>
      <c r="H102" s="27" t="inlineStr">
        <is>
          <t>Yes</t>
        </is>
      </c>
      <c r="I102" s="27" t="inlineStr">
        <is>
          <t>https://descript.com</t>
        </is>
      </c>
      <c r="J102" s="27" t="inlineStr">
        <is>
          <t>No</t>
        </is>
      </c>
      <c r="K102" s="27" t="inlineStr">
        <is>
          <t>No</t>
        </is>
      </c>
      <c r="L102" s="27" t="inlineStr">
        <is>
          <t>No</t>
        </is>
      </c>
      <c r="M102" s="27" t="inlineStr">
        <is>
          <t>No</t>
        </is>
      </c>
      <c r="N102" s="27" t="inlineStr">
        <is>
          <t>Descript, ElevenLabs, OpusClip</t>
        </is>
      </c>
      <c r="O102" s="27" t="inlineStr">
        <is>
          <t>2026-10-23</t>
        </is>
      </c>
      <c r="P102" s="27" t="inlineStr">
        <is>
          <t>2026-10-25</t>
        </is>
      </c>
      <c r="Q102" s="27" t="inlineStr">
        <is>
          <t>No</t>
        </is>
      </c>
      <c r="R102" s="27" t="inlineStr">
        <is>
          <t>https://github.com/saran2006psg/incube-seo/blob/main/visibility/raw_answers/raw_answers_day1_2026-10-23.json</t>
        </is>
      </c>
      <c r="S102" s="27" t="inlineStr">
        <is>
          <t>High</t>
        </is>
      </c>
      <c r="T102" s="27" t="inlineStr">
        <is>
          <t>Verified reproducible across Day 1 and Day 2</t>
        </is>
      </c>
      <c r="U102" s="28">
        <f>IF(A102="","",IF(COUNTIF($B$5:$B$304,B102)&gt;1,"DUPLICATE","UNIQUE"))</f>
        <v/>
      </c>
      <c r="V102" s="28">
        <f>IF(A102="","",IF(AND(B102&lt;&gt;"",C102&lt;&gt;"",D102&lt;&gt;"",E102&lt;&gt;"",F102&lt;&gt;"",G102&lt;&gt;"",H102&lt;&gt;"",J102&lt;&gt;"",K102&lt;&gt;"",L102&lt;&gt;"",M102&lt;&gt;"",O102&lt;&gt;"",P102&lt;&gt;"",R102&lt;&gt;""),"COMPLETE","MISSING FIELDS"))</f>
        <v/>
      </c>
    </row>
    <row r="103" ht="15" customHeight="1" s="15">
      <c r="A103" s="27" t="inlineStr">
        <is>
          <t>Q099</t>
        </is>
      </c>
      <c r="B103" s="27" t="inlineStr">
        <is>
          <t>How to turn a 30-minute interview into a complete 5-day social media campaign</t>
        </is>
      </c>
      <c r="C103" s="27" t="inlineStr">
        <is>
          <t>Informational</t>
        </is>
      </c>
      <c r="D103" s="27" t="inlineStr">
        <is>
          <t>Reddit Community Thread</t>
        </is>
      </c>
      <c r="E103" s="27" t="inlineStr">
        <is>
          <t>https://www.reddit.com/r/Marketing</t>
        </is>
      </c>
      <c r="F103" s="27" t="inlineStr">
        <is>
          <t>US</t>
        </is>
      </c>
      <c r="G103" s="27" t="inlineStr">
        <is>
          <t>&gt;100</t>
        </is>
      </c>
      <c r="H103" s="27" t="inlineStr">
        <is>
          <t>Yes</t>
        </is>
      </c>
      <c r="I103" s="27" t="inlineStr">
        <is>
          <t>https://descript.com</t>
        </is>
      </c>
      <c r="J103" s="27" t="inlineStr">
        <is>
          <t>No</t>
        </is>
      </c>
      <c r="K103" s="27" t="inlineStr">
        <is>
          <t>No</t>
        </is>
      </c>
      <c r="L103" s="27" t="inlineStr">
        <is>
          <t>No</t>
        </is>
      </c>
      <c r="M103" s="27" t="inlineStr">
        <is>
          <t>No</t>
        </is>
      </c>
      <c r="N103" s="27" t="inlineStr">
        <is>
          <t>Descript, ElevenLabs, OpusClip</t>
        </is>
      </c>
      <c r="O103" s="27" t="inlineStr">
        <is>
          <t>2026-10-23</t>
        </is>
      </c>
      <c r="P103" s="27" t="inlineStr">
        <is>
          <t>2026-10-25</t>
        </is>
      </c>
      <c r="Q103" s="27" t="inlineStr">
        <is>
          <t>No</t>
        </is>
      </c>
      <c r="R103" s="27" t="inlineStr">
        <is>
          <t>https://github.com/saran2006psg/incube-seo/blob/main/visibility/raw_answers/raw_answers_day1_2026-10-23.json</t>
        </is>
      </c>
      <c r="S103" s="27" t="inlineStr">
        <is>
          <t>High</t>
        </is>
      </c>
      <c r="T103" s="27" t="inlineStr">
        <is>
          <t>Verified reproducible across Day 1 and Day 2</t>
        </is>
      </c>
      <c r="U103" s="28">
        <f>IF(A103="","",IF(COUNTIF($B$5:$B$304,B103)&gt;1,"DUPLICATE","UNIQUE"))</f>
        <v/>
      </c>
      <c r="V103" s="28">
        <f>IF(A103="","",IF(AND(B103&lt;&gt;"",C103&lt;&gt;"",D103&lt;&gt;"",E103&lt;&gt;"",F103&lt;&gt;"",G103&lt;&gt;"",H103&lt;&gt;"",J103&lt;&gt;"",K103&lt;&gt;"",L103&lt;&gt;"",M103&lt;&gt;"",O103&lt;&gt;"",P103&lt;&gt;"",R103&lt;&gt;""),"COMPLETE","MISSING FIELDS"))</f>
        <v/>
      </c>
    </row>
    <row r="104" ht="15" customHeight="1" s="15">
      <c r="A104" s="27" t="inlineStr">
        <is>
          <t>Q100</t>
        </is>
      </c>
      <c r="B104" s="27" t="inlineStr">
        <is>
          <t>Best AI platform for podcasters who want to grow on YouTube Shorts and Reels</t>
        </is>
      </c>
      <c r="C104" s="27" t="inlineStr">
        <is>
          <t>Commercial Investigation</t>
        </is>
      </c>
      <c r="D104" s="27" t="inlineStr">
        <is>
          <t>Google PAA</t>
        </is>
      </c>
      <c r="E104" s="27" t="inlineStr">
        <is>
          <t>https://www.google.com/search?q=Best+AI+platform+for+podcasters+who+want+to+grow+on+YouTube+Shorts+and+Reels</t>
        </is>
      </c>
      <c r="F104" s="27" t="inlineStr">
        <is>
          <t>UK</t>
        </is>
      </c>
      <c r="G104" s="27" t="inlineStr">
        <is>
          <t>&gt;100</t>
        </is>
      </c>
      <c r="H104" s="27" t="inlineStr">
        <is>
          <t>Yes</t>
        </is>
      </c>
      <c r="I104" s="27" t="inlineStr">
        <is>
          <t>https://descript.com</t>
        </is>
      </c>
      <c r="J104" s="27" t="inlineStr">
        <is>
          <t>No</t>
        </is>
      </c>
      <c r="K104" s="27" t="inlineStr">
        <is>
          <t>No</t>
        </is>
      </c>
      <c r="L104" s="27" t="inlineStr">
        <is>
          <t>No</t>
        </is>
      </c>
      <c r="M104" s="27" t="inlineStr">
        <is>
          <t>No</t>
        </is>
      </c>
      <c r="N104" s="27" t="inlineStr">
        <is>
          <t>Descript, ElevenLabs, OpusClip</t>
        </is>
      </c>
      <c r="O104" s="27" t="inlineStr">
        <is>
          <t>2026-10-23</t>
        </is>
      </c>
      <c r="P104" s="27" t="inlineStr">
        <is>
          <t>2026-10-25</t>
        </is>
      </c>
      <c r="Q104" s="27" t="inlineStr">
        <is>
          <t>No</t>
        </is>
      </c>
      <c r="R104" s="27" t="inlineStr">
        <is>
          <t>https://github.com/saran2006psg/incube-seo/blob/main/visibility/raw_answers/raw_answers_day1_2026-10-23.json</t>
        </is>
      </c>
      <c r="S104" s="27" t="inlineStr">
        <is>
          <t>High</t>
        </is>
      </c>
      <c r="T104" s="27" t="inlineStr">
        <is>
          <t>Verified reproducible across Day 1 and Day 2</t>
        </is>
      </c>
      <c r="U104" s="28">
        <f>IF(A104="","",IF(COUNTIF($B$5:$B$304,B104)&gt;1,"DUPLICATE","UNIQUE"))</f>
        <v/>
      </c>
      <c r="V104" s="28">
        <f>IF(A104="","",IF(AND(B104&lt;&gt;"",C104&lt;&gt;"",D104&lt;&gt;"",E104&lt;&gt;"",F104&lt;&gt;"",G104&lt;&gt;"",H104&lt;&gt;"",J104&lt;&gt;"",K104&lt;&gt;"",L104&lt;&gt;"",M104&lt;&gt;"",O104&lt;&gt;"",P104&lt;&gt;"",R104&lt;&gt;""),"COMPLETE","MISSING FIELDS"))</f>
        <v/>
      </c>
    </row>
    <row r="105" ht="15" customHeight="1" s="15">
      <c r="A105" s="27" t="inlineStr">
        <is>
          <t>Q101</t>
        </is>
      </c>
      <c r="B105" s="27" t="inlineStr">
        <is>
          <t>How to edit video audio directly in browser without downloading huge files</t>
        </is>
      </c>
      <c r="C105" s="27" t="inlineStr">
        <is>
          <t>Informational</t>
        </is>
      </c>
      <c r="D105" s="27" t="inlineStr">
        <is>
          <t>Google Search Suggest</t>
        </is>
      </c>
      <c r="E105" s="27" t="inlineStr">
        <is>
          <t>https://suggestqueries.google.com/complete/search</t>
        </is>
      </c>
      <c r="F105" s="27" t="inlineStr">
        <is>
          <t>US</t>
        </is>
      </c>
      <c r="G105" s="27" t="inlineStr">
        <is>
          <t>&gt;100</t>
        </is>
      </c>
      <c r="H105" s="27" t="inlineStr">
        <is>
          <t>Yes</t>
        </is>
      </c>
      <c r="I105" s="27" t="inlineStr">
        <is>
          <t>https://descript.com</t>
        </is>
      </c>
      <c r="J105" s="27" t="inlineStr">
        <is>
          <t>No</t>
        </is>
      </c>
      <c r="K105" s="27" t="inlineStr">
        <is>
          <t>No</t>
        </is>
      </c>
      <c r="L105" s="27" t="inlineStr">
        <is>
          <t>No</t>
        </is>
      </c>
      <c r="M105" s="27" t="inlineStr">
        <is>
          <t>No</t>
        </is>
      </c>
      <c r="N105" s="27" t="inlineStr">
        <is>
          <t>Descript, ElevenLabs, OpusClip</t>
        </is>
      </c>
      <c r="O105" s="27" t="inlineStr">
        <is>
          <t>2026-10-23</t>
        </is>
      </c>
      <c r="P105" s="27" t="inlineStr">
        <is>
          <t>2026-10-25</t>
        </is>
      </c>
      <c r="Q105" s="27" t="inlineStr">
        <is>
          <t>No</t>
        </is>
      </c>
      <c r="R105" s="27" t="inlineStr">
        <is>
          <t>https://github.com/saran2006psg/incube-seo/blob/main/visibility/raw_answers/raw_answers_day1_2026-10-23.json</t>
        </is>
      </c>
      <c r="S105" s="27" t="inlineStr">
        <is>
          <t>High</t>
        </is>
      </c>
      <c r="T105" s="27" t="inlineStr">
        <is>
          <t>Verified reproducible across Day 1 and Day 2</t>
        </is>
      </c>
      <c r="U105" s="28">
        <f>IF(A105="","",IF(COUNTIF($B$5:$B$304,B105)&gt;1,"DUPLICATE","UNIQUE"))</f>
        <v/>
      </c>
      <c r="V105" s="28">
        <f>IF(A105="","",IF(AND(B105&lt;&gt;"",C105&lt;&gt;"",D105&lt;&gt;"",E105&lt;&gt;"",F105&lt;&gt;"",G105&lt;&gt;"",H105&lt;&gt;"",J105&lt;&gt;"",K105&lt;&gt;"",L105&lt;&gt;"",M105&lt;&gt;"",O105&lt;&gt;"",P105&lt;&gt;"",R105&lt;&gt;""),"COMPLETE","MISSING FIELDS"))</f>
        <v/>
      </c>
    </row>
    <row r="106" ht="15" customHeight="1" s="15">
      <c r="A106" s="27" t="inlineStr">
        <is>
          <t>Q102</t>
        </is>
      </c>
      <c r="B106" s="27" t="inlineStr">
        <is>
          <t>What is the best workflow to turn voice memos on phone into published LinkedIn articles?</t>
        </is>
      </c>
      <c r="C106" s="27" t="inlineStr">
        <is>
          <t>Informational</t>
        </is>
      </c>
      <c r="D106" s="27" t="inlineStr">
        <is>
          <t>Reddit Community Thread</t>
        </is>
      </c>
      <c r="E106" s="27" t="inlineStr">
        <is>
          <t>https://www.reddit.com/r/Productivity</t>
        </is>
      </c>
      <c r="F106" s="27" t="inlineStr">
        <is>
          <t>IN</t>
        </is>
      </c>
      <c r="G106" s="27" t="inlineStr">
        <is>
          <t>&gt;100</t>
        </is>
      </c>
      <c r="H106" s="27" t="inlineStr">
        <is>
          <t>Yes</t>
        </is>
      </c>
      <c r="I106" s="27" t="inlineStr">
        <is>
          <t>https://descript.com</t>
        </is>
      </c>
      <c r="J106" s="27" t="inlineStr">
        <is>
          <t>No</t>
        </is>
      </c>
      <c r="K106" s="27" t="inlineStr">
        <is>
          <t>No</t>
        </is>
      </c>
      <c r="L106" s="27" t="inlineStr">
        <is>
          <t>No</t>
        </is>
      </c>
      <c r="M106" s="27" t="inlineStr">
        <is>
          <t>No</t>
        </is>
      </c>
      <c r="N106" s="27" t="inlineStr">
        <is>
          <t>Descript, ElevenLabs, OpusClip</t>
        </is>
      </c>
      <c r="O106" s="27" t="inlineStr">
        <is>
          <t>2026-10-23</t>
        </is>
      </c>
      <c r="P106" s="27" t="inlineStr">
        <is>
          <t>2026-10-25</t>
        </is>
      </c>
      <c r="Q106" s="27" t="inlineStr">
        <is>
          <t>No</t>
        </is>
      </c>
      <c r="R106" s="27" t="inlineStr">
        <is>
          <t>https://github.com/saran2006psg/incube-seo/blob/main/visibility/raw_answers/raw_answers_day1_2026-10-23.json</t>
        </is>
      </c>
      <c r="S106" s="27" t="inlineStr">
        <is>
          <t>High</t>
        </is>
      </c>
      <c r="T106" s="27" t="inlineStr">
        <is>
          <t>Verified reproducible across Day 1 and Day 2</t>
        </is>
      </c>
      <c r="U106" s="28">
        <f>IF(A106="","",IF(COUNTIF($B$5:$B$304,B106)&gt;1,"DUPLICATE","UNIQUE"))</f>
        <v/>
      </c>
      <c r="V106" s="28">
        <f>IF(A106="","",IF(AND(B106&lt;&gt;"",C106&lt;&gt;"",D106&lt;&gt;"",E106&lt;&gt;"",F106&lt;&gt;"",G106&lt;&gt;"",H106&lt;&gt;"",J106&lt;&gt;"",K106&lt;&gt;"",L106&lt;&gt;"",M106&lt;&gt;"",O106&lt;&gt;"",P106&lt;&gt;"",R106&lt;&gt;""),"COMPLETE","MISSING FIELDS"))</f>
        <v/>
      </c>
    </row>
    <row r="107" ht="15" customHeight="1" s="15">
      <c r="A107" s="27" t="inlineStr">
        <is>
          <t>Q103</t>
        </is>
      </c>
      <c r="B107" s="27" t="inlineStr">
        <is>
          <t>How to automate content distribution across 4 platforms without third party watermarks</t>
        </is>
      </c>
      <c r="C107" s="27" t="inlineStr">
        <is>
          <t>Informational</t>
        </is>
      </c>
      <c r="D107" s="27" t="inlineStr">
        <is>
          <t>Google PAA</t>
        </is>
      </c>
      <c r="E107" s="27" t="inlineStr">
        <is>
          <t>https://www.google.com/search?q=How+to+automate+content+distribution+across+4+platforms+without+third+party+watermarks</t>
        </is>
      </c>
      <c r="F107" s="27" t="inlineStr">
        <is>
          <t>US</t>
        </is>
      </c>
      <c r="G107" s="27" t="inlineStr">
        <is>
          <t>&gt;100</t>
        </is>
      </c>
      <c r="H107" s="27" t="inlineStr">
        <is>
          <t>Yes</t>
        </is>
      </c>
      <c r="I107" s="27" t="inlineStr">
        <is>
          <t>https://descript.com</t>
        </is>
      </c>
      <c r="J107" s="27" t="inlineStr">
        <is>
          <t>No</t>
        </is>
      </c>
      <c r="K107" s="27" t="inlineStr">
        <is>
          <t>No</t>
        </is>
      </c>
      <c r="L107" s="27" t="inlineStr">
        <is>
          <t>No</t>
        </is>
      </c>
      <c r="M107" s="27" t="inlineStr">
        <is>
          <t>No</t>
        </is>
      </c>
      <c r="N107" s="27" t="inlineStr">
        <is>
          <t>Descript, ElevenLabs, OpusClip</t>
        </is>
      </c>
      <c r="O107" s="27" t="inlineStr">
        <is>
          <t>2026-10-23</t>
        </is>
      </c>
      <c r="P107" s="27" t="inlineStr">
        <is>
          <t>2026-10-25</t>
        </is>
      </c>
      <c r="Q107" s="27" t="inlineStr">
        <is>
          <t>No</t>
        </is>
      </c>
      <c r="R107" s="27" t="inlineStr">
        <is>
          <t>https://github.com/saran2006psg/incube-seo/blob/main/visibility/raw_answers/raw_answers_day1_2026-10-23.json</t>
        </is>
      </c>
      <c r="S107" s="27" t="inlineStr">
        <is>
          <t>High</t>
        </is>
      </c>
      <c r="T107" s="27" t="inlineStr">
        <is>
          <t>Verified reproducible across Day 1 and Day 2</t>
        </is>
      </c>
      <c r="U107" s="28">
        <f>IF(A107="","",IF(COUNTIF($B$5:$B$304,B107)&gt;1,"DUPLICATE","UNIQUE"))</f>
        <v/>
      </c>
      <c r="V107" s="28">
        <f>IF(A107="","",IF(AND(B107&lt;&gt;"",C107&lt;&gt;"",D107&lt;&gt;"",E107&lt;&gt;"",F107&lt;&gt;"",G107&lt;&gt;"",H107&lt;&gt;"",J107&lt;&gt;"",K107&lt;&gt;"",L107&lt;&gt;"",M107&lt;&gt;"",O107&lt;&gt;"",P107&lt;&gt;"",R107&lt;&gt;""),"COMPLETE","MISSING FIELDS"))</f>
        <v/>
      </c>
    </row>
    <row r="108" ht="15" customHeight="1" s="15">
      <c r="A108" s="27" t="inlineStr">
        <is>
          <t>Q104</t>
        </is>
      </c>
      <c r="B108" s="27" t="inlineStr">
        <is>
          <t>Which AI tool offers the best combination of video editing, repurposing, and scheduling?</t>
        </is>
      </c>
      <c r="C108" s="27" t="inlineStr">
        <is>
          <t>Commercial Investigation</t>
        </is>
      </c>
      <c r="D108" s="27" t="inlineStr">
        <is>
          <t>Quora Creator Q&amp;A</t>
        </is>
      </c>
      <c r="E108" s="27" t="inlineStr">
        <is>
          <t>https://www.quora.com</t>
        </is>
      </c>
      <c r="F108" s="27" t="inlineStr">
        <is>
          <t>US</t>
        </is>
      </c>
      <c r="G108" s="27" t="inlineStr">
        <is>
          <t>&gt;100</t>
        </is>
      </c>
      <c r="H108" s="27" t="inlineStr">
        <is>
          <t>Yes</t>
        </is>
      </c>
      <c r="I108" s="27" t="inlineStr">
        <is>
          <t>https://descript.com</t>
        </is>
      </c>
      <c r="J108" s="27" t="inlineStr">
        <is>
          <t>No</t>
        </is>
      </c>
      <c r="K108" s="27" t="inlineStr">
        <is>
          <t>No</t>
        </is>
      </c>
      <c r="L108" s="27" t="inlineStr">
        <is>
          <t>No</t>
        </is>
      </c>
      <c r="M108" s="27" t="inlineStr">
        <is>
          <t>No</t>
        </is>
      </c>
      <c r="N108" s="27" t="inlineStr">
        <is>
          <t>Descript, ElevenLabs, OpusClip</t>
        </is>
      </c>
      <c r="O108" s="27" t="inlineStr">
        <is>
          <t>2026-10-23</t>
        </is>
      </c>
      <c r="P108" s="27" t="inlineStr">
        <is>
          <t>2026-10-25</t>
        </is>
      </c>
      <c r="Q108" s="27" t="inlineStr">
        <is>
          <t>No</t>
        </is>
      </c>
      <c r="R108" s="27" t="inlineStr">
        <is>
          <t>https://github.com/saran2006psg/incube-seo/blob/main/visibility/raw_answers/raw_answers_day1_2026-10-23.json</t>
        </is>
      </c>
      <c r="S108" s="27" t="inlineStr">
        <is>
          <t>High</t>
        </is>
      </c>
      <c r="T108" s="27" t="inlineStr">
        <is>
          <t>Verified reproducible across Day 1 and Day 2</t>
        </is>
      </c>
      <c r="U108" s="28">
        <f>IF(A108="","",IF(COUNTIF($B$5:$B$304,B108)&gt;1,"DUPLICATE","UNIQUE"))</f>
        <v/>
      </c>
      <c r="V108" s="28">
        <f>IF(A108="","",IF(AND(B108&lt;&gt;"",C108&lt;&gt;"",D108&lt;&gt;"",E108&lt;&gt;"",F108&lt;&gt;"",G108&lt;&gt;"",H108&lt;&gt;"",J108&lt;&gt;"",K108&lt;&gt;"",L108&lt;&gt;"",M108&lt;&gt;"",O108&lt;&gt;"",P108&lt;&gt;"",R108&lt;&gt;""),"COMPLETE","MISSING FIELDS"))</f>
        <v/>
      </c>
    </row>
    <row r="109" ht="15" customHeight="1" s="15">
      <c r="A109" s="27" t="n"/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27" t="n"/>
      <c r="S109" s="27" t="n"/>
      <c r="T109" s="27" t="n"/>
      <c r="U109" s="28">
        <f>IF(A109="","",IF(COUNTIF($B$5:$B$304,B109)&gt;1,"DUPLICATE","UNIQUE"))</f>
        <v/>
      </c>
      <c r="V109" s="28">
        <f>IF(A109="","",IF(AND(B109&lt;&gt;"",C109&lt;&gt;"",D109&lt;&gt;"",E109&lt;&gt;"",F109&lt;&gt;"",G109&lt;&gt;"",H109&lt;&gt;"",J109&lt;&gt;"",K109&lt;&gt;"",L109&lt;&gt;"",M109&lt;&gt;"",O109&lt;&gt;"",P109&lt;&gt;"",R109&lt;&gt;""),"COMPLETE","MISSING FIELDS"))</f>
        <v/>
      </c>
    </row>
    <row r="110" ht="15" customHeight="1" s="15">
      <c r="A110" s="27" t="n"/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27" t="n"/>
      <c r="S110" s="27" t="n"/>
      <c r="T110" s="27" t="n"/>
      <c r="U110" s="28">
        <f>IF(A110="","",IF(COUNTIF($B$5:$B$304,B110)&gt;1,"DUPLICATE","UNIQUE"))</f>
        <v/>
      </c>
      <c r="V110" s="28">
        <f>IF(A110="","",IF(AND(B110&lt;&gt;"",C110&lt;&gt;"",D110&lt;&gt;"",E110&lt;&gt;"",F110&lt;&gt;"",G110&lt;&gt;"",H110&lt;&gt;"",J110&lt;&gt;"",K110&lt;&gt;"",L110&lt;&gt;"",M110&lt;&gt;"",O110&lt;&gt;"",P110&lt;&gt;"",R110&lt;&gt;""),"COMPLETE","MISSING FIELDS"))</f>
        <v/>
      </c>
    </row>
    <row r="111" ht="15" customHeight="1" s="15">
      <c r="A111" s="27" t="n"/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27" t="n"/>
      <c r="K111" s="27" t="n"/>
      <c r="L111" s="27" t="n"/>
      <c r="M111" s="27" t="n"/>
      <c r="N111" s="27" t="n"/>
      <c r="O111" s="27" t="n"/>
      <c r="P111" s="27" t="n"/>
      <c r="Q111" s="27" t="n"/>
      <c r="R111" s="27" t="n"/>
      <c r="S111" s="27" t="n"/>
      <c r="T111" s="27" t="n"/>
      <c r="U111" s="28">
        <f>IF(A111="","",IF(COUNTIF($B$5:$B$304,B111)&gt;1,"DUPLICATE","UNIQUE"))</f>
        <v/>
      </c>
      <c r="V111" s="28">
        <f>IF(A111="","",IF(AND(B111&lt;&gt;"",C111&lt;&gt;"",D111&lt;&gt;"",E111&lt;&gt;"",F111&lt;&gt;"",G111&lt;&gt;"",H111&lt;&gt;"",J111&lt;&gt;"",K111&lt;&gt;"",L111&lt;&gt;"",M111&lt;&gt;"",O111&lt;&gt;"",P111&lt;&gt;"",R111&lt;&gt;""),"COMPLETE","MISSING FIELDS"))</f>
        <v/>
      </c>
    </row>
    <row r="112" ht="15" customHeight="1" s="15">
      <c r="A112" s="27" t="n"/>
      <c r="B112" s="27" t="n"/>
      <c r="C112" s="27" t="n"/>
      <c r="D112" s="27" t="n"/>
      <c r="E112" s="27" t="n"/>
      <c r="F112" s="27" t="n"/>
      <c r="G112" s="27" t="n"/>
      <c r="H112" s="27" t="n"/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27" t="n"/>
      <c r="S112" s="27" t="n"/>
      <c r="T112" s="27" t="n"/>
      <c r="U112" s="28">
        <f>IF(A112="","",IF(COUNTIF($B$5:$B$304,B112)&gt;1,"DUPLICATE","UNIQUE"))</f>
        <v/>
      </c>
      <c r="V112" s="28">
        <f>IF(A112="","",IF(AND(B112&lt;&gt;"",C112&lt;&gt;"",D112&lt;&gt;"",E112&lt;&gt;"",F112&lt;&gt;"",G112&lt;&gt;"",H112&lt;&gt;"",J112&lt;&gt;"",K112&lt;&gt;"",L112&lt;&gt;"",M112&lt;&gt;"",O112&lt;&gt;"",P112&lt;&gt;"",R112&lt;&gt;""),"COMPLETE","MISSING FIELDS"))</f>
        <v/>
      </c>
    </row>
    <row r="113" ht="15" customHeight="1" s="15">
      <c r="A113" s="27" t="n"/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27" t="n"/>
      <c r="K113" s="27" t="n"/>
      <c r="L113" s="27" t="n"/>
      <c r="M113" s="27" t="n"/>
      <c r="N113" s="27" t="n"/>
      <c r="O113" s="27" t="n"/>
      <c r="P113" s="27" t="n"/>
      <c r="Q113" s="27" t="n"/>
      <c r="R113" s="27" t="n"/>
      <c r="S113" s="27" t="n"/>
      <c r="T113" s="27" t="n"/>
      <c r="U113" s="28">
        <f>IF(A113="","",IF(COUNTIF($B$5:$B$304,B113)&gt;1,"DUPLICATE","UNIQUE"))</f>
        <v/>
      </c>
      <c r="V113" s="28">
        <f>IF(A113="","",IF(AND(B113&lt;&gt;"",C113&lt;&gt;"",D113&lt;&gt;"",E113&lt;&gt;"",F113&lt;&gt;"",G113&lt;&gt;"",H113&lt;&gt;"",J113&lt;&gt;"",K113&lt;&gt;"",L113&lt;&gt;"",M113&lt;&gt;"",O113&lt;&gt;"",P113&lt;&gt;"",R113&lt;&gt;""),"COMPLETE","MISSING FIELDS"))</f>
        <v/>
      </c>
    </row>
    <row r="114" ht="15" customHeight="1" s="15">
      <c r="A114" s="27" t="n"/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27" t="n"/>
      <c r="K114" s="27" t="n"/>
      <c r="L114" s="27" t="n"/>
      <c r="M114" s="27" t="n"/>
      <c r="N114" s="27" t="n"/>
      <c r="O114" s="27" t="n"/>
      <c r="P114" s="27" t="n"/>
      <c r="Q114" s="27" t="n"/>
      <c r="R114" s="27" t="n"/>
      <c r="S114" s="27" t="n"/>
      <c r="T114" s="27" t="n"/>
      <c r="U114" s="28">
        <f>IF(A114="","",IF(COUNTIF($B$5:$B$304,B114)&gt;1,"DUPLICATE","UNIQUE"))</f>
        <v/>
      </c>
      <c r="V114" s="28">
        <f>IF(A114="","",IF(AND(B114&lt;&gt;"",C114&lt;&gt;"",D114&lt;&gt;"",E114&lt;&gt;"",F114&lt;&gt;"",G114&lt;&gt;"",H114&lt;&gt;"",J114&lt;&gt;"",K114&lt;&gt;"",L114&lt;&gt;"",M114&lt;&gt;"",O114&lt;&gt;"",P114&lt;&gt;"",R114&lt;&gt;""),"COMPLETE","MISSING FIELDS"))</f>
        <v/>
      </c>
    </row>
    <row r="115" ht="15" customHeight="1" s="15">
      <c r="A115" s="27" t="n"/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27" t="n"/>
      <c r="S115" s="27" t="n"/>
      <c r="T115" s="27" t="n"/>
      <c r="U115" s="28">
        <f>IF(A115="","",IF(COUNTIF($B$5:$B$304,B115)&gt;1,"DUPLICATE","UNIQUE"))</f>
        <v/>
      </c>
      <c r="V115" s="28">
        <f>IF(A115="","",IF(AND(B115&lt;&gt;"",C115&lt;&gt;"",D115&lt;&gt;"",E115&lt;&gt;"",F115&lt;&gt;"",G115&lt;&gt;"",H115&lt;&gt;"",J115&lt;&gt;"",K115&lt;&gt;"",L115&lt;&gt;"",M115&lt;&gt;"",O115&lt;&gt;"",P115&lt;&gt;"",R115&lt;&gt;""),"COMPLETE","MISSING FIELDS"))</f>
        <v/>
      </c>
    </row>
    <row r="116" ht="15" customHeight="1" s="15">
      <c r="A116" s="27" t="n"/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27" t="n"/>
      <c r="S116" s="27" t="n"/>
      <c r="T116" s="27" t="n"/>
      <c r="U116" s="28">
        <f>IF(A116="","",IF(COUNTIF($B$5:$B$304,B116)&gt;1,"DUPLICATE","UNIQUE"))</f>
        <v/>
      </c>
      <c r="V116" s="28">
        <f>IF(A116="","",IF(AND(B116&lt;&gt;"",C116&lt;&gt;"",D116&lt;&gt;"",E116&lt;&gt;"",F116&lt;&gt;"",G116&lt;&gt;"",H116&lt;&gt;"",J116&lt;&gt;"",K116&lt;&gt;"",L116&lt;&gt;"",M116&lt;&gt;"",O116&lt;&gt;"",P116&lt;&gt;"",R116&lt;&gt;""),"COMPLETE","MISSING FIELDS"))</f>
        <v/>
      </c>
    </row>
    <row r="117" ht="15" customHeight="1" s="15">
      <c r="A117" s="27" t="n"/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27" t="n"/>
      <c r="S117" s="27" t="n"/>
      <c r="T117" s="27" t="n"/>
      <c r="U117" s="28">
        <f>IF(A117="","",IF(COUNTIF($B$5:$B$304,B117)&gt;1,"DUPLICATE","UNIQUE"))</f>
        <v/>
      </c>
      <c r="V117" s="28">
        <f>IF(A117="","",IF(AND(B117&lt;&gt;"",C117&lt;&gt;"",D117&lt;&gt;"",E117&lt;&gt;"",F117&lt;&gt;"",G117&lt;&gt;"",H117&lt;&gt;"",J117&lt;&gt;"",K117&lt;&gt;"",L117&lt;&gt;"",M117&lt;&gt;"",O117&lt;&gt;"",P117&lt;&gt;"",R117&lt;&gt;""),"COMPLETE","MISSING FIELDS"))</f>
        <v/>
      </c>
    </row>
    <row r="118" ht="15" customHeight="1" s="15">
      <c r="A118" s="27" t="n"/>
      <c r="B118" s="27" t="n"/>
      <c r="C118" s="27" t="n"/>
      <c r="D118" s="27" t="n"/>
      <c r="E118" s="27" t="n"/>
      <c r="F118" s="27" t="n"/>
      <c r="G118" s="27" t="n"/>
      <c r="H118" s="27" t="n"/>
      <c r="I118" s="27" t="n"/>
      <c r="J118" s="27" t="n"/>
      <c r="K118" s="27" t="n"/>
      <c r="L118" s="27" t="n"/>
      <c r="M118" s="27" t="n"/>
      <c r="N118" s="27" t="n"/>
      <c r="O118" s="27" t="n"/>
      <c r="P118" s="27" t="n"/>
      <c r="Q118" s="27" t="n"/>
      <c r="R118" s="27" t="n"/>
      <c r="S118" s="27" t="n"/>
      <c r="T118" s="27" t="n"/>
      <c r="U118" s="28">
        <f>IF(A118="","",IF(COUNTIF($B$5:$B$304,B118)&gt;1,"DUPLICATE","UNIQUE"))</f>
        <v/>
      </c>
      <c r="V118" s="28">
        <f>IF(A118="","",IF(AND(B118&lt;&gt;"",C118&lt;&gt;"",D118&lt;&gt;"",E118&lt;&gt;"",F118&lt;&gt;"",G118&lt;&gt;"",H118&lt;&gt;"",J118&lt;&gt;"",K118&lt;&gt;"",L118&lt;&gt;"",M118&lt;&gt;"",O118&lt;&gt;"",P118&lt;&gt;"",R118&lt;&gt;""),"COMPLETE","MISSING FIELDS"))</f>
        <v/>
      </c>
    </row>
    <row r="119" ht="15" customHeight="1" s="15">
      <c r="A119" s="27" t="n"/>
      <c r="B119" s="27" t="n"/>
      <c r="C119" s="27" t="n"/>
      <c r="D119" s="27" t="n"/>
      <c r="E119" s="27" t="n"/>
      <c r="F119" s="27" t="n"/>
      <c r="G119" s="27" t="n"/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27" t="n"/>
      <c r="S119" s="27" t="n"/>
      <c r="T119" s="27" t="n"/>
      <c r="U119" s="28">
        <f>IF(A119="","",IF(COUNTIF($B$5:$B$304,B119)&gt;1,"DUPLICATE","UNIQUE"))</f>
        <v/>
      </c>
      <c r="V119" s="28">
        <f>IF(A119="","",IF(AND(B119&lt;&gt;"",C119&lt;&gt;"",D119&lt;&gt;"",E119&lt;&gt;"",F119&lt;&gt;"",G119&lt;&gt;"",H119&lt;&gt;"",J119&lt;&gt;"",K119&lt;&gt;"",L119&lt;&gt;"",M119&lt;&gt;"",O119&lt;&gt;"",P119&lt;&gt;"",R119&lt;&gt;""),"COMPLETE","MISSING FIELDS"))</f>
        <v/>
      </c>
    </row>
    <row r="120" ht="15" customHeight="1" s="15">
      <c r="A120" s="27" t="n"/>
      <c r="B120" s="27" t="n"/>
      <c r="C120" s="27" t="n"/>
      <c r="D120" s="27" t="n"/>
      <c r="E120" s="27" t="n"/>
      <c r="F120" s="27" t="n"/>
      <c r="G120" s="27" t="n"/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27" t="n"/>
      <c r="S120" s="27" t="n"/>
      <c r="T120" s="27" t="n"/>
      <c r="U120" s="28">
        <f>IF(A120="","",IF(COUNTIF($B$5:$B$304,B120)&gt;1,"DUPLICATE","UNIQUE"))</f>
        <v/>
      </c>
      <c r="V120" s="28">
        <f>IF(A120="","",IF(AND(B120&lt;&gt;"",C120&lt;&gt;"",D120&lt;&gt;"",E120&lt;&gt;"",F120&lt;&gt;"",G120&lt;&gt;"",H120&lt;&gt;"",J120&lt;&gt;"",K120&lt;&gt;"",L120&lt;&gt;"",M120&lt;&gt;"",O120&lt;&gt;"",P120&lt;&gt;"",R120&lt;&gt;""),"COMPLETE","MISSING FIELDS"))</f>
        <v/>
      </c>
    </row>
    <row r="121" ht="15" customHeight="1" s="15">
      <c r="A121" s="27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  <c r="T121" s="27" t="n"/>
      <c r="U121" s="28">
        <f>IF(A121="","",IF(COUNTIF($B$5:$B$304,B121)&gt;1,"DUPLICATE","UNIQUE"))</f>
        <v/>
      </c>
      <c r="V121" s="28">
        <f>IF(A121="","",IF(AND(B121&lt;&gt;"",C121&lt;&gt;"",D121&lt;&gt;"",E121&lt;&gt;"",F121&lt;&gt;"",G121&lt;&gt;"",H121&lt;&gt;"",J121&lt;&gt;"",K121&lt;&gt;"",L121&lt;&gt;"",M121&lt;&gt;"",O121&lt;&gt;"",P121&lt;&gt;"",R121&lt;&gt;""),"COMPLETE","MISSING FIELDS"))</f>
        <v/>
      </c>
    </row>
    <row r="122" ht="15" customHeight="1" s="15">
      <c r="A122" s="27" t="n"/>
      <c r="B122" s="27" t="n"/>
      <c r="C122" s="27" t="n"/>
      <c r="D122" s="27" t="n"/>
      <c r="E122" s="27" t="n"/>
      <c r="F122" s="27" t="n"/>
      <c r="G122" s="27" t="n"/>
      <c r="H122" s="27" t="n"/>
      <c r="I122" s="27" t="n"/>
      <c r="J122" s="27" t="n"/>
      <c r="K122" s="27" t="n"/>
      <c r="L122" s="27" t="n"/>
      <c r="M122" s="27" t="n"/>
      <c r="N122" s="27" t="n"/>
      <c r="O122" s="27" t="n"/>
      <c r="P122" s="27" t="n"/>
      <c r="Q122" s="27" t="n"/>
      <c r="R122" s="27" t="n"/>
      <c r="S122" s="27" t="n"/>
      <c r="T122" s="27" t="n"/>
      <c r="U122" s="28">
        <f>IF(A122="","",IF(COUNTIF($B$5:$B$304,B122)&gt;1,"DUPLICATE","UNIQUE"))</f>
        <v/>
      </c>
      <c r="V122" s="28">
        <f>IF(A122="","",IF(AND(B122&lt;&gt;"",C122&lt;&gt;"",D122&lt;&gt;"",E122&lt;&gt;"",F122&lt;&gt;"",G122&lt;&gt;"",H122&lt;&gt;"",J122&lt;&gt;"",K122&lt;&gt;"",L122&lt;&gt;"",M122&lt;&gt;"",O122&lt;&gt;"",P122&lt;&gt;"",R122&lt;&gt;""),"COMPLETE","MISSING FIELDS"))</f>
        <v/>
      </c>
    </row>
    <row r="123" ht="15" customHeight="1" s="15">
      <c r="A123" s="27" t="n"/>
      <c r="B123" s="27" t="n"/>
      <c r="C123" s="27" t="n"/>
      <c r="D123" s="27" t="n"/>
      <c r="E123" s="27" t="n"/>
      <c r="F123" s="27" t="n"/>
      <c r="G123" s="27" t="n"/>
      <c r="H123" s="27" t="n"/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27" t="n"/>
      <c r="S123" s="27" t="n"/>
      <c r="T123" s="27" t="n"/>
      <c r="U123" s="28">
        <f>IF(A123="","",IF(COUNTIF($B$5:$B$304,B123)&gt;1,"DUPLICATE","UNIQUE"))</f>
        <v/>
      </c>
      <c r="V123" s="28">
        <f>IF(A123="","",IF(AND(B123&lt;&gt;"",C123&lt;&gt;"",D123&lt;&gt;"",E123&lt;&gt;"",F123&lt;&gt;"",G123&lt;&gt;"",H123&lt;&gt;"",J123&lt;&gt;"",K123&lt;&gt;"",L123&lt;&gt;"",M123&lt;&gt;"",O123&lt;&gt;"",P123&lt;&gt;"",R123&lt;&gt;""),"COMPLETE","MISSING FIELDS"))</f>
        <v/>
      </c>
    </row>
    <row r="124" ht="15" customHeight="1" s="15">
      <c r="A124" s="27" t="n"/>
      <c r="B124" s="27" t="n"/>
      <c r="C124" s="27" t="n"/>
      <c r="D124" s="27" t="n"/>
      <c r="E124" s="27" t="n"/>
      <c r="F124" s="27" t="n"/>
      <c r="G124" s="27" t="n"/>
      <c r="H124" s="27" t="n"/>
      <c r="I124" s="27" t="n"/>
      <c r="J124" s="27" t="n"/>
      <c r="K124" s="27" t="n"/>
      <c r="L124" s="27" t="n"/>
      <c r="M124" s="27" t="n"/>
      <c r="N124" s="27" t="n"/>
      <c r="O124" s="27" t="n"/>
      <c r="P124" s="27" t="n"/>
      <c r="Q124" s="27" t="n"/>
      <c r="R124" s="27" t="n"/>
      <c r="S124" s="27" t="n"/>
      <c r="T124" s="27" t="n"/>
      <c r="U124" s="28">
        <f>IF(A124="","",IF(COUNTIF($B$5:$B$304,B124)&gt;1,"DUPLICATE","UNIQUE"))</f>
        <v/>
      </c>
      <c r="V124" s="28">
        <f>IF(A124="","",IF(AND(B124&lt;&gt;"",C124&lt;&gt;"",D124&lt;&gt;"",E124&lt;&gt;"",F124&lt;&gt;"",G124&lt;&gt;"",H124&lt;&gt;"",J124&lt;&gt;"",K124&lt;&gt;"",L124&lt;&gt;"",M124&lt;&gt;"",O124&lt;&gt;"",P124&lt;&gt;"",R124&lt;&gt;""),"COMPLETE","MISSING FIELDS"))</f>
        <v/>
      </c>
    </row>
    <row r="125" ht="15" customHeight="1" s="15">
      <c r="A125" s="27" t="n"/>
      <c r="B125" s="27" t="n"/>
      <c r="C125" s="27" t="n"/>
      <c r="D125" s="27" t="n"/>
      <c r="E125" s="27" t="n"/>
      <c r="F125" s="27" t="n"/>
      <c r="G125" s="27" t="n"/>
      <c r="H125" s="27" t="n"/>
      <c r="I125" s="27" t="n"/>
      <c r="J125" s="27" t="n"/>
      <c r="K125" s="27" t="n"/>
      <c r="L125" s="27" t="n"/>
      <c r="M125" s="27" t="n"/>
      <c r="N125" s="27" t="n"/>
      <c r="O125" s="27" t="n"/>
      <c r="P125" s="27" t="n"/>
      <c r="Q125" s="27" t="n"/>
      <c r="R125" s="27" t="n"/>
      <c r="S125" s="27" t="n"/>
      <c r="T125" s="27" t="n"/>
      <c r="U125" s="28">
        <f>IF(A125="","",IF(COUNTIF($B$5:$B$304,B125)&gt;1,"DUPLICATE","UNIQUE"))</f>
        <v/>
      </c>
      <c r="V125" s="28">
        <f>IF(A125="","",IF(AND(B125&lt;&gt;"",C125&lt;&gt;"",D125&lt;&gt;"",E125&lt;&gt;"",F125&lt;&gt;"",G125&lt;&gt;"",H125&lt;&gt;"",J125&lt;&gt;"",K125&lt;&gt;"",L125&lt;&gt;"",M125&lt;&gt;"",O125&lt;&gt;"",P125&lt;&gt;"",R125&lt;&gt;""),"COMPLETE","MISSING FIELDS"))</f>
        <v/>
      </c>
    </row>
    <row r="126" ht="15" customHeight="1" s="15">
      <c r="A126" s="27" t="n"/>
      <c r="B126" s="27" t="n"/>
      <c r="C126" s="27" t="n"/>
      <c r="D126" s="27" t="n"/>
      <c r="E126" s="27" t="n"/>
      <c r="F126" s="27" t="n"/>
      <c r="G126" s="27" t="n"/>
      <c r="H126" s="27" t="n"/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27" t="n"/>
      <c r="S126" s="27" t="n"/>
      <c r="T126" s="27" t="n"/>
      <c r="U126" s="28">
        <f>IF(A126="","",IF(COUNTIF($B$5:$B$304,B126)&gt;1,"DUPLICATE","UNIQUE"))</f>
        <v/>
      </c>
      <c r="V126" s="28">
        <f>IF(A126="","",IF(AND(B126&lt;&gt;"",C126&lt;&gt;"",D126&lt;&gt;"",E126&lt;&gt;"",F126&lt;&gt;"",G126&lt;&gt;"",H126&lt;&gt;"",J126&lt;&gt;"",K126&lt;&gt;"",L126&lt;&gt;"",M126&lt;&gt;"",O126&lt;&gt;"",P126&lt;&gt;"",R126&lt;&gt;""),"COMPLETE","MISSING FIELDS"))</f>
        <v/>
      </c>
    </row>
    <row r="127" ht="15" customHeight="1" s="15">
      <c r="A127" s="27" t="n"/>
      <c r="B127" s="27" t="n"/>
      <c r="C127" s="27" t="n"/>
      <c r="D127" s="27" t="n"/>
      <c r="E127" s="27" t="n"/>
      <c r="F127" s="27" t="n"/>
      <c r="G127" s="27" t="n"/>
      <c r="H127" s="27" t="n"/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7" t="n"/>
      <c r="T127" s="27" t="n"/>
      <c r="U127" s="28">
        <f>IF(A127="","",IF(COUNTIF($B$5:$B$304,B127)&gt;1,"DUPLICATE","UNIQUE"))</f>
        <v/>
      </c>
      <c r="V127" s="28">
        <f>IF(A127="","",IF(AND(B127&lt;&gt;"",C127&lt;&gt;"",D127&lt;&gt;"",E127&lt;&gt;"",F127&lt;&gt;"",G127&lt;&gt;"",H127&lt;&gt;"",J127&lt;&gt;"",K127&lt;&gt;"",L127&lt;&gt;"",M127&lt;&gt;"",O127&lt;&gt;"",P127&lt;&gt;"",R127&lt;&gt;""),"COMPLETE","MISSING FIELDS"))</f>
        <v/>
      </c>
    </row>
    <row r="128" ht="15" customHeight="1" s="15">
      <c r="A128" s="27" t="n"/>
      <c r="B128" s="27" t="n"/>
      <c r="C128" s="27" t="n"/>
      <c r="D128" s="27" t="n"/>
      <c r="E128" s="27" t="n"/>
      <c r="F128" s="27" t="n"/>
      <c r="G128" s="27" t="n"/>
      <c r="H128" s="27" t="n"/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27" t="n"/>
      <c r="S128" s="27" t="n"/>
      <c r="T128" s="27" t="n"/>
      <c r="U128" s="28">
        <f>IF(A128="","",IF(COUNTIF($B$5:$B$304,B128)&gt;1,"DUPLICATE","UNIQUE"))</f>
        <v/>
      </c>
      <c r="V128" s="28">
        <f>IF(A128="","",IF(AND(B128&lt;&gt;"",C128&lt;&gt;"",D128&lt;&gt;"",E128&lt;&gt;"",F128&lt;&gt;"",G128&lt;&gt;"",H128&lt;&gt;"",J128&lt;&gt;"",K128&lt;&gt;"",L128&lt;&gt;"",M128&lt;&gt;"",O128&lt;&gt;"",P128&lt;&gt;"",R128&lt;&gt;""),"COMPLETE","MISSING FIELDS"))</f>
        <v/>
      </c>
    </row>
    <row r="129" ht="15" customHeight="1" s="15">
      <c r="A129" s="27" t="n"/>
      <c r="B129" s="27" t="n"/>
      <c r="C129" s="27" t="n"/>
      <c r="D129" s="27" t="n"/>
      <c r="E129" s="27" t="n"/>
      <c r="F129" s="27" t="n"/>
      <c r="G129" s="27" t="n"/>
      <c r="H129" s="27" t="n"/>
      <c r="I129" s="27" t="n"/>
      <c r="J129" s="27" t="n"/>
      <c r="K129" s="27" t="n"/>
      <c r="L129" s="27" t="n"/>
      <c r="M129" s="27" t="n"/>
      <c r="N129" s="27" t="n"/>
      <c r="O129" s="27" t="n"/>
      <c r="P129" s="27" t="n"/>
      <c r="Q129" s="27" t="n"/>
      <c r="R129" s="27" t="n"/>
      <c r="S129" s="27" t="n"/>
      <c r="T129" s="27" t="n"/>
      <c r="U129" s="28">
        <f>IF(A129="","",IF(COUNTIF($B$5:$B$304,B129)&gt;1,"DUPLICATE","UNIQUE"))</f>
        <v/>
      </c>
      <c r="V129" s="28">
        <f>IF(A129="","",IF(AND(B129&lt;&gt;"",C129&lt;&gt;"",D129&lt;&gt;"",E129&lt;&gt;"",F129&lt;&gt;"",G129&lt;&gt;"",H129&lt;&gt;"",J129&lt;&gt;"",K129&lt;&gt;"",L129&lt;&gt;"",M129&lt;&gt;"",O129&lt;&gt;"",P129&lt;&gt;"",R129&lt;&gt;""),"COMPLETE","MISSING FIELDS"))</f>
        <v/>
      </c>
    </row>
    <row r="130" ht="15" customHeight="1" s="15">
      <c r="A130" s="27" t="n"/>
      <c r="B130" s="27" t="n"/>
      <c r="C130" s="27" t="n"/>
      <c r="D130" s="27" t="n"/>
      <c r="E130" s="27" t="n"/>
      <c r="F130" s="27" t="n"/>
      <c r="G130" s="27" t="n"/>
      <c r="H130" s="27" t="n"/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27" t="n"/>
      <c r="S130" s="27" t="n"/>
      <c r="T130" s="27" t="n"/>
      <c r="U130" s="28">
        <f>IF(A130="","",IF(COUNTIF($B$5:$B$304,B130)&gt;1,"DUPLICATE","UNIQUE"))</f>
        <v/>
      </c>
      <c r="V130" s="28">
        <f>IF(A130="","",IF(AND(B130&lt;&gt;"",C130&lt;&gt;"",D130&lt;&gt;"",E130&lt;&gt;"",F130&lt;&gt;"",G130&lt;&gt;"",H130&lt;&gt;"",J130&lt;&gt;"",K130&lt;&gt;"",L130&lt;&gt;"",M130&lt;&gt;"",O130&lt;&gt;"",P130&lt;&gt;"",R130&lt;&gt;""),"COMPLETE","MISSING FIELDS"))</f>
        <v/>
      </c>
    </row>
    <row r="131" ht="15" customHeight="1" s="15">
      <c r="A131" s="27" t="n"/>
      <c r="B131" s="27" t="n"/>
      <c r="C131" s="27" t="n"/>
      <c r="D131" s="27" t="n"/>
      <c r="E131" s="27" t="n"/>
      <c r="F131" s="27" t="n"/>
      <c r="G131" s="27" t="n"/>
      <c r="H131" s="27" t="n"/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27" t="n"/>
      <c r="S131" s="27" t="n"/>
      <c r="T131" s="27" t="n"/>
      <c r="U131" s="28">
        <f>IF(A131="","",IF(COUNTIF($B$5:$B$304,B131)&gt;1,"DUPLICATE","UNIQUE"))</f>
        <v/>
      </c>
      <c r="V131" s="28">
        <f>IF(A131="","",IF(AND(B131&lt;&gt;"",C131&lt;&gt;"",D131&lt;&gt;"",E131&lt;&gt;"",F131&lt;&gt;"",G131&lt;&gt;"",H131&lt;&gt;"",J131&lt;&gt;"",K131&lt;&gt;"",L131&lt;&gt;"",M131&lt;&gt;"",O131&lt;&gt;"",P131&lt;&gt;"",R131&lt;&gt;""),"COMPLETE","MISSING FIELDS"))</f>
        <v/>
      </c>
    </row>
    <row r="132" ht="15" customHeight="1" s="15">
      <c r="A132" s="27" t="n"/>
      <c r="B132" s="27" t="n"/>
      <c r="C132" s="27" t="n"/>
      <c r="D132" s="27" t="n"/>
      <c r="E132" s="27" t="n"/>
      <c r="F132" s="27" t="n"/>
      <c r="G132" s="27" t="n"/>
      <c r="H132" s="27" t="n"/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  <c r="R132" s="27" t="n"/>
      <c r="S132" s="27" t="n"/>
      <c r="T132" s="27" t="n"/>
      <c r="U132" s="28">
        <f>IF(A132="","",IF(COUNTIF($B$5:$B$304,B132)&gt;1,"DUPLICATE","UNIQUE"))</f>
        <v/>
      </c>
      <c r="V132" s="28">
        <f>IF(A132="","",IF(AND(B132&lt;&gt;"",C132&lt;&gt;"",D132&lt;&gt;"",E132&lt;&gt;"",F132&lt;&gt;"",G132&lt;&gt;"",H132&lt;&gt;"",J132&lt;&gt;"",K132&lt;&gt;"",L132&lt;&gt;"",M132&lt;&gt;"",O132&lt;&gt;"",P132&lt;&gt;"",R132&lt;&gt;""),"COMPLETE","MISSING FIELDS"))</f>
        <v/>
      </c>
    </row>
    <row r="133" ht="15" customHeight="1" s="15">
      <c r="A133" s="27" t="n"/>
      <c r="B133" s="27" t="n"/>
      <c r="C133" s="27" t="n"/>
      <c r="D133" s="27" t="n"/>
      <c r="E133" s="27" t="n"/>
      <c r="F133" s="27" t="n"/>
      <c r="G133" s="27" t="n"/>
      <c r="H133" s="27" t="n"/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27" t="n"/>
      <c r="S133" s="27" t="n"/>
      <c r="T133" s="27" t="n"/>
      <c r="U133" s="28">
        <f>IF(A133="","",IF(COUNTIF($B$5:$B$304,B133)&gt;1,"DUPLICATE","UNIQUE"))</f>
        <v/>
      </c>
      <c r="V133" s="28">
        <f>IF(A133="","",IF(AND(B133&lt;&gt;"",C133&lt;&gt;"",D133&lt;&gt;"",E133&lt;&gt;"",F133&lt;&gt;"",G133&lt;&gt;"",H133&lt;&gt;"",J133&lt;&gt;"",K133&lt;&gt;"",L133&lt;&gt;"",M133&lt;&gt;"",O133&lt;&gt;"",P133&lt;&gt;"",R133&lt;&gt;""),"COMPLETE","MISSING FIELDS"))</f>
        <v/>
      </c>
    </row>
    <row r="134" ht="15" customHeight="1" s="15">
      <c r="A134" s="27" t="n"/>
      <c r="B134" s="27" t="n"/>
      <c r="C134" s="27" t="n"/>
      <c r="D134" s="27" t="n"/>
      <c r="E134" s="27" t="n"/>
      <c r="F134" s="27" t="n"/>
      <c r="G134" s="27" t="n"/>
      <c r="H134" s="27" t="n"/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  <c r="R134" s="27" t="n"/>
      <c r="S134" s="27" t="n"/>
      <c r="T134" s="27" t="n"/>
      <c r="U134" s="28">
        <f>IF(A134="","",IF(COUNTIF($B$5:$B$304,B134)&gt;1,"DUPLICATE","UNIQUE"))</f>
        <v/>
      </c>
      <c r="V134" s="28">
        <f>IF(A134="","",IF(AND(B134&lt;&gt;"",C134&lt;&gt;"",D134&lt;&gt;"",E134&lt;&gt;"",F134&lt;&gt;"",G134&lt;&gt;"",H134&lt;&gt;"",J134&lt;&gt;"",K134&lt;&gt;"",L134&lt;&gt;"",M134&lt;&gt;"",O134&lt;&gt;"",P134&lt;&gt;"",R134&lt;&gt;""),"COMPLETE","MISSING FIELDS"))</f>
        <v/>
      </c>
    </row>
    <row r="135" ht="15" customHeight="1" s="15">
      <c r="A135" s="27" t="n"/>
      <c r="B135" s="27" t="n"/>
      <c r="C135" s="27" t="n"/>
      <c r="D135" s="27" t="n"/>
      <c r="E135" s="27" t="n"/>
      <c r="F135" s="27" t="n"/>
      <c r="G135" s="27" t="n"/>
      <c r="H135" s="27" t="n"/>
      <c r="I135" s="27" t="n"/>
      <c r="J135" s="27" t="n"/>
      <c r="K135" s="27" t="n"/>
      <c r="L135" s="27" t="n"/>
      <c r="M135" s="27" t="n"/>
      <c r="N135" s="27" t="n"/>
      <c r="O135" s="27" t="n"/>
      <c r="P135" s="27" t="n"/>
      <c r="Q135" s="27" t="n"/>
      <c r="R135" s="27" t="n"/>
      <c r="S135" s="27" t="n"/>
      <c r="T135" s="27" t="n"/>
      <c r="U135" s="28">
        <f>IF(A135="","",IF(COUNTIF($B$5:$B$304,B135)&gt;1,"DUPLICATE","UNIQUE"))</f>
        <v/>
      </c>
      <c r="V135" s="28">
        <f>IF(A135="","",IF(AND(B135&lt;&gt;"",C135&lt;&gt;"",D135&lt;&gt;"",E135&lt;&gt;"",F135&lt;&gt;"",G135&lt;&gt;"",H135&lt;&gt;"",J135&lt;&gt;"",K135&lt;&gt;"",L135&lt;&gt;"",M135&lt;&gt;"",O135&lt;&gt;"",P135&lt;&gt;"",R135&lt;&gt;""),"COMPLETE","MISSING FIELDS"))</f>
        <v/>
      </c>
    </row>
    <row r="136" ht="15" customHeight="1" s="15">
      <c r="A136" s="27" t="n"/>
      <c r="B136" s="27" t="n"/>
      <c r="C136" s="27" t="n"/>
      <c r="D136" s="27" t="n"/>
      <c r="E136" s="27" t="n"/>
      <c r="F136" s="27" t="n"/>
      <c r="G136" s="27" t="n"/>
      <c r="H136" s="27" t="n"/>
      <c r="I136" s="27" t="n"/>
      <c r="J136" s="27" t="n"/>
      <c r="K136" s="27" t="n"/>
      <c r="L136" s="27" t="n"/>
      <c r="M136" s="27" t="n"/>
      <c r="N136" s="27" t="n"/>
      <c r="O136" s="27" t="n"/>
      <c r="P136" s="27" t="n"/>
      <c r="Q136" s="27" t="n"/>
      <c r="R136" s="27" t="n"/>
      <c r="S136" s="27" t="n"/>
      <c r="T136" s="27" t="n"/>
      <c r="U136" s="28">
        <f>IF(A136="","",IF(COUNTIF($B$5:$B$304,B136)&gt;1,"DUPLICATE","UNIQUE"))</f>
        <v/>
      </c>
      <c r="V136" s="28">
        <f>IF(A136="","",IF(AND(B136&lt;&gt;"",C136&lt;&gt;"",D136&lt;&gt;"",E136&lt;&gt;"",F136&lt;&gt;"",G136&lt;&gt;"",H136&lt;&gt;"",J136&lt;&gt;"",K136&lt;&gt;"",L136&lt;&gt;"",M136&lt;&gt;"",O136&lt;&gt;"",P136&lt;&gt;"",R136&lt;&gt;""),"COMPLETE","MISSING FIELDS"))</f>
        <v/>
      </c>
    </row>
    <row r="137" ht="15" customHeight="1" s="15">
      <c r="A137" s="27" t="n"/>
      <c r="B137" s="27" t="n"/>
      <c r="C137" s="27" t="n"/>
      <c r="D137" s="27" t="n"/>
      <c r="E137" s="27" t="n"/>
      <c r="F137" s="27" t="n"/>
      <c r="G137" s="27" t="n"/>
      <c r="H137" s="27" t="n"/>
      <c r="I137" s="27" t="n"/>
      <c r="J137" s="27" t="n"/>
      <c r="K137" s="27" t="n"/>
      <c r="L137" s="27" t="n"/>
      <c r="M137" s="27" t="n"/>
      <c r="N137" s="27" t="n"/>
      <c r="O137" s="27" t="n"/>
      <c r="P137" s="27" t="n"/>
      <c r="Q137" s="27" t="n"/>
      <c r="R137" s="27" t="n"/>
      <c r="S137" s="27" t="n"/>
      <c r="T137" s="27" t="n"/>
      <c r="U137" s="28">
        <f>IF(A137="","",IF(COUNTIF($B$5:$B$304,B137)&gt;1,"DUPLICATE","UNIQUE"))</f>
        <v/>
      </c>
      <c r="V137" s="28">
        <f>IF(A137="","",IF(AND(B137&lt;&gt;"",C137&lt;&gt;"",D137&lt;&gt;"",E137&lt;&gt;"",F137&lt;&gt;"",G137&lt;&gt;"",H137&lt;&gt;"",J137&lt;&gt;"",K137&lt;&gt;"",L137&lt;&gt;"",M137&lt;&gt;"",O137&lt;&gt;"",P137&lt;&gt;"",R137&lt;&gt;""),"COMPLETE","MISSING FIELDS"))</f>
        <v/>
      </c>
    </row>
    <row r="138" ht="15" customHeight="1" s="15">
      <c r="A138" s="27" t="n"/>
      <c r="B138" s="27" t="n"/>
      <c r="C138" s="27" t="n"/>
      <c r="D138" s="27" t="n"/>
      <c r="E138" s="27" t="n"/>
      <c r="F138" s="27" t="n"/>
      <c r="G138" s="27" t="n"/>
      <c r="H138" s="27" t="n"/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27" t="n"/>
      <c r="S138" s="27" t="n"/>
      <c r="T138" s="27" t="n"/>
      <c r="U138" s="28">
        <f>IF(A138="","",IF(COUNTIF($B$5:$B$304,B138)&gt;1,"DUPLICATE","UNIQUE"))</f>
        <v/>
      </c>
      <c r="V138" s="28">
        <f>IF(A138="","",IF(AND(B138&lt;&gt;"",C138&lt;&gt;"",D138&lt;&gt;"",E138&lt;&gt;"",F138&lt;&gt;"",G138&lt;&gt;"",H138&lt;&gt;"",J138&lt;&gt;"",K138&lt;&gt;"",L138&lt;&gt;"",M138&lt;&gt;"",O138&lt;&gt;"",P138&lt;&gt;"",R138&lt;&gt;""),"COMPLETE","MISSING FIELDS"))</f>
        <v/>
      </c>
    </row>
    <row r="139" ht="15" customHeight="1" s="15">
      <c r="A139" s="27" t="n"/>
      <c r="B139" s="27" t="n"/>
      <c r="C139" s="27" t="n"/>
      <c r="D139" s="27" t="n"/>
      <c r="E139" s="27" t="n"/>
      <c r="F139" s="27" t="n"/>
      <c r="G139" s="27" t="n"/>
      <c r="H139" s="27" t="n"/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27" t="n"/>
      <c r="S139" s="27" t="n"/>
      <c r="T139" s="27" t="n"/>
      <c r="U139" s="28">
        <f>IF(A139="","",IF(COUNTIF($B$5:$B$304,B139)&gt;1,"DUPLICATE","UNIQUE"))</f>
        <v/>
      </c>
      <c r="V139" s="28">
        <f>IF(A139="","",IF(AND(B139&lt;&gt;"",C139&lt;&gt;"",D139&lt;&gt;"",E139&lt;&gt;"",F139&lt;&gt;"",G139&lt;&gt;"",H139&lt;&gt;"",J139&lt;&gt;"",K139&lt;&gt;"",L139&lt;&gt;"",M139&lt;&gt;"",O139&lt;&gt;"",P139&lt;&gt;"",R139&lt;&gt;""),"COMPLETE","MISSING FIELDS"))</f>
        <v/>
      </c>
    </row>
    <row r="140" ht="15" customHeight="1" s="15">
      <c r="A140" s="27" t="n"/>
      <c r="B140" s="27" t="n"/>
      <c r="C140" s="27" t="n"/>
      <c r="D140" s="27" t="n"/>
      <c r="E140" s="27" t="n"/>
      <c r="F140" s="27" t="n"/>
      <c r="G140" s="27" t="n"/>
      <c r="H140" s="27" t="n"/>
      <c r="I140" s="27" t="n"/>
      <c r="J140" s="27" t="n"/>
      <c r="K140" s="27" t="n"/>
      <c r="L140" s="27" t="n"/>
      <c r="M140" s="27" t="n"/>
      <c r="N140" s="27" t="n"/>
      <c r="O140" s="27" t="n"/>
      <c r="P140" s="27" t="n"/>
      <c r="Q140" s="27" t="n"/>
      <c r="R140" s="27" t="n"/>
      <c r="S140" s="27" t="n"/>
      <c r="T140" s="27" t="n"/>
      <c r="U140" s="28">
        <f>IF(A140="","",IF(COUNTIF($B$5:$B$304,B140)&gt;1,"DUPLICATE","UNIQUE"))</f>
        <v/>
      </c>
      <c r="V140" s="28">
        <f>IF(A140="","",IF(AND(B140&lt;&gt;"",C140&lt;&gt;"",D140&lt;&gt;"",E140&lt;&gt;"",F140&lt;&gt;"",G140&lt;&gt;"",H140&lt;&gt;"",J140&lt;&gt;"",K140&lt;&gt;"",L140&lt;&gt;"",M140&lt;&gt;"",O140&lt;&gt;"",P140&lt;&gt;"",R140&lt;&gt;""),"COMPLETE","MISSING FIELDS"))</f>
        <v/>
      </c>
    </row>
    <row r="141" ht="15" customHeight="1" s="15">
      <c r="A141" s="27" t="n"/>
      <c r="B141" s="27" t="n"/>
      <c r="C141" s="27" t="n"/>
      <c r="D141" s="27" t="n"/>
      <c r="E141" s="27" t="n"/>
      <c r="F141" s="27" t="n"/>
      <c r="G141" s="27" t="n"/>
      <c r="H141" s="27" t="n"/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27" t="n"/>
      <c r="S141" s="27" t="n"/>
      <c r="T141" s="27" t="n"/>
      <c r="U141" s="28">
        <f>IF(A141="","",IF(COUNTIF($B$5:$B$304,B141)&gt;1,"DUPLICATE","UNIQUE"))</f>
        <v/>
      </c>
      <c r="V141" s="28">
        <f>IF(A141="","",IF(AND(B141&lt;&gt;"",C141&lt;&gt;"",D141&lt;&gt;"",E141&lt;&gt;"",F141&lt;&gt;"",G141&lt;&gt;"",H141&lt;&gt;"",J141&lt;&gt;"",K141&lt;&gt;"",L141&lt;&gt;"",M141&lt;&gt;"",O141&lt;&gt;"",P141&lt;&gt;"",R141&lt;&gt;""),"COMPLETE","MISSING FIELDS"))</f>
        <v/>
      </c>
    </row>
    <row r="142" ht="15" customHeight="1" s="15">
      <c r="A142" s="27" t="n"/>
      <c r="B142" s="27" t="n"/>
      <c r="C142" s="27" t="n"/>
      <c r="D142" s="27" t="n"/>
      <c r="E142" s="27" t="n"/>
      <c r="F142" s="27" t="n"/>
      <c r="G142" s="27" t="n"/>
      <c r="H142" s="27" t="n"/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27" t="n"/>
      <c r="S142" s="27" t="n"/>
      <c r="T142" s="27" t="n"/>
      <c r="U142" s="28">
        <f>IF(A142="","",IF(COUNTIF($B$5:$B$304,B142)&gt;1,"DUPLICATE","UNIQUE"))</f>
        <v/>
      </c>
      <c r="V142" s="28">
        <f>IF(A142="","",IF(AND(B142&lt;&gt;"",C142&lt;&gt;"",D142&lt;&gt;"",E142&lt;&gt;"",F142&lt;&gt;"",G142&lt;&gt;"",H142&lt;&gt;"",J142&lt;&gt;"",K142&lt;&gt;"",L142&lt;&gt;"",M142&lt;&gt;"",O142&lt;&gt;"",P142&lt;&gt;"",R142&lt;&gt;""),"COMPLETE","MISSING FIELDS"))</f>
        <v/>
      </c>
    </row>
    <row r="143" ht="15" customHeight="1" s="15">
      <c r="A143" s="27" t="n"/>
      <c r="B143" s="27" t="n"/>
      <c r="C143" s="27" t="n"/>
      <c r="D143" s="27" t="n"/>
      <c r="E143" s="27" t="n"/>
      <c r="F143" s="27" t="n"/>
      <c r="G143" s="27" t="n"/>
      <c r="H143" s="27" t="n"/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27" t="n"/>
      <c r="S143" s="27" t="n"/>
      <c r="T143" s="27" t="n"/>
      <c r="U143" s="28">
        <f>IF(A143="","",IF(COUNTIF($B$5:$B$304,B143)&gt;1,"DUPLICATE","UNIQUE"))</f>
        <v/>
      </c>
      <c r="V143" s="28">
        <f>IF(A143="","",IF(AND(B143&lt;&gt;"",C143&lt;&gt;"",D143&lt;&gt;"",E143&lt;&gt;"",F143&lt;&gt;"",G143&lt;&gt;"",H143&lt;&gt;"",J143&lt;&gt;"",K143&lt;&gt;"",L143&lt;&gt;"",M143&lt;&gt;"",O143&lt;&gt;"",P143&lt;&gt;"",R143&lt;&gt;""),"COMPLETE","MISSING FIELDS"))</f>
        <v/>
      </c>
    </row>
    <row r="144" ht="15" customHeight="1" s="15">
      <c r="A144" s="27" t="n"/>
      <c r="B144" s="27" t="n"/>
      <c r="C144" s="27" t="n"/>
      <c r="D144" s="27" t="n"/>
      <c r="E144" s="27" t="n"/>
      <c r="F144" s="27" t="n"/>
      <c r="G144" s="27" t="n"/>
      <c r="H144" s="27" t="n"/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27" t="n"/>
      <c r="S144" s="27" t="n"/>
      <c r="T144" s="27" t="n"/>
      <c r="U144" s="28">
        <f>IF(A144="","",IF(COUNTIF($B$5:$B$304,B144)&gt;1,"DUPLICATE","UNIQUE"))</f>
        <v/>
      </c>
      <c r="V144" s="28">
        <f>IF(A144="","",IF(AND(B144&lt;&gt;"",C144&lt;&gt;"",D144&lt;&gt;"",E144&lt;&gt;"",F144&lt;&gt;"",G144&lt;&gt;"",H144&lt;&gt;"",J144&lt;&gt;"",K144&lt;&gt;"",L144&lt;&gt;"",M144&lt;&gt;"",O144&lt;&gt;"",P144&lt;&gt;"",R144&lt;&gt;""),"COMPLETE","MISSING FIELDS"))</f>
        <v/>
      </c>
    </row>
    <row r="145" ht="15" customHeight="1" s="15">
      <c r="A145" s="27" t="n"/>
      <c r="B145" s="27" t="n"/>
      <c r="C145" s="27" t="n"/>
      <c r="D145" s="27" t="n"/>
      <c r="E145" s="27" t="n"/>
      <c r="F145" s="27" t="n"/>
      <c r="G145" s="27" t="n"/>
      <c r="H145" s="27" t="n"/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27" t="n"/>
      <c r="R145" s="27" t="n"/>
      <c r="S145" s="27" t="n"/>
      <c r="T145" s="27" t="n"/>
      <c r="U145" s="28">
        <f>IF(A145="","",IF(COUNTIF($B$5:$B$304,B145)&gt;1,"DUPLICATE","UNIQUE"))</f>
        <v/>
      </c>
      <c r="V145" s="28">
        <f>IF(A145="","",IF(AND(B145&lt;&gt;"",C145&lt;&gt;"",D145&lt;&gt;"",E145&lt;&gt;"",F145&lt;&gt;"",G145&lt;&gt;"",H145&lt;&gt;"",J145&lt;&gt;"",K145&lt;&gt;"",L145&lt;&gt;"",M145&lt;&gt;"",O145&lt;&gt;"",P145&lt;&gt;"",R145&lt;&gt;""),"COMPLETE","MISSING FIELDS"))</f>
        <v/>
      </c>
    </row>
    <row r="146" ht="15" customHeight="1" s="15">
      <c r="A146" s="27" t="n"/>
      <c r="B146" s="27" t="n"/>
      <c r="C146" s="27" t="n"/>
      <c r="D146" s="27" t="n"/>
      <c r="E146" s="27" t="n"/>
      <c r="F146" s="27" t="n"/>
      <c r="G146" s="27" t="n"/>
      <c r="H146" s="27" t="n"/>
      <c r="I146" s="27" t="n"/>
      <c r="J146" s="27" t="n"/>
      <c r="K146" s="27" t="n"/>
      <c r="L146" s="27" t="n"/>
      <c r="M146" s="27" t="n"/>
      <c r="N146" s="27" t="n"/>
      <c r="O146" s="27" t="n"/>
      <c r="P146" s="27" t="n"/>
      <c r="Q146" s="27" t="n"/>
      <c r="R146" s="27" t="n"/>
      <c r="S146" s="27" t="n"/>
      <c r="T146" s="27" t="n"/>
      <c r="U146" s="28">
        <f>IF(A146="","",IF(COUNTIF($B$5:$B$304,B146)&gt;1,"DUPLICATE","UNIQUE"))</f>
        <v/>
      </c>
      <c r="V146" s="28">
        <f>IF(A146="","",IF(AND(B146&lt;&gt;"",C146&lt;&gt;"",D146&lt;&gt;"",E146&lt;&gt;"",F146&lt;&gt;"",G146&lt;&gt;"",H146&lt;&gt;"",J146&lt;&gt;"",K146&lt;&gt;"",L146&lt;&gt;"",M146&lt;&gt;"",O146&lt;&gt;"",P146&lt;&gt;"",R146&lt;&gt;""),"COMPLETE","MISSING FIELDS"))</f>
        <v/>
      </c>
    </row>
    <row r="147" ht="15" customHeight="1" s="15">
      <c r="A147" s="27" t="n"/>
      <c r="B147" s="27" t="n"/>
      <c r="C147" s="27" t="n"/>
      <c r="D147" s="27" t="n"/>
      <c r="E147" s="27" t="n"/>
      <c r="F147" s="27" t="n"/>
      <c r="G147" s="27" t="n"/>
      <c r="H147" s="27" t="n"/>
      <c r="I147" s="27" t="n"/>
      <c r="J147" s="27" t="n"/>
      <c r="K147" s="27" t="n"/>
      <c r="L147" s="27" t="n"/>
      <c r="M147" s="27" t="n"/>
      <c r="N147" s="27" t="n"/>
      <c r="O147" s="27" t="n"/>
      <c r="P147" s="27" t="n"/>
      <c r="Q147" s="27" t="n"/>
      <c r="R147" s="27" t="n"/>
      <c r="S147" s="27" t="n"/>
      <c r="T147" s="27" t="n"/>
      <c r="U147" s="28">
        <f>IF(A147="","",IF(COUNTIF($B$5:$B$304,B147)&gt;1,"DUPLICATE","UNIQUE"))</f>
        <v/>
      </c>
      <c r="V147" s="28">
        <f>IF(A147="","",IF(AND(B147&lt;&gt;"",C147&lt;&gt;"",D147&lt;&gt;"",E147&lt;&gt;"",F147&lt;&gt;"",G147&lt;&gt;"",H147&lt;&gt;"",J147&lt;&gt;"",K147&lt;&gt;"",L147&lt;&gt;"",M147&lt;&gt;"",O147&lt;&gt;"",P147&lt;&gt;"",R147&lt;&gt;""),"COMPLETE","MISSING FIELDS"))</f>
        <v/>
      </c>
    </row>
    <row r="148" ht="15" customHeight="1" s="15">
      <c r="A148" s="27" t="n"/>
      <c r="B148" s="27" t="n"/>
      <c r="C148" s="27" t="n"/>
      <c r="D148" s="27" t="n"/>
      <c r="E148" s="27" t="n"/>
      <c r="F148" s="27" t="n"/>
      <c r="G148" s="27" t="n"/>
      <c r="H148" s="27" t="n"/>
      <c r="I148" s="27" t="n"/>
      <c r="J148" s="27" t="n"/>
      <c r="K148" s="27" t="n"/>
      <c r="L148" s="27" t="n"/>
      <c r="M148" s="27" t="n"/>
      <c r="N148" s="27" t="n"/>
      <c r="O148" s="27" t="n"/>
      <c r="P148" s="27" t="n"/>
      <c r="Q148" s="27" t="n"/>
      <c r="R148" s="27" t="n"/>
      <c r="S148" s="27" t="n"/>
      <c r="T148" s="27" t="n"/>
      <c r="U148" s="28">
        <f>IF(A148="","",IF(COUNTIF($B$5:$B$304,B148)&gt;1,"DUPLICATE","UNIQUE"))</f>
        <v/>
      </c>
      <c r="V148" s="28">
        <f>IF(A148="","",IF(AND(B148&lt;&gt;"",C148&lt;&gt;"",D148&lt;&gt;"",E148&lt;&gt;"",F148&lt;&gt;"",G148&lt;&gt;"",H148&lt;&gt;"",J148&lt;&gt;"",K148&lt;&gt;"",L148&lt;&gt;"",M148&lt;&gt;"",O148&lt;&gt;"",P148&lt;&gt;"",R148&lt;&gt;""),"COMPLETE","MISSING FIELDS"))</f>
        <v/>
      </c>
    </row>
    <row r="149" ht="15" customHeight="1" s="15">
      <c r="A149" s="27" t="n"/>
      <c r="B149" s="27" t="n"/>
      <c r="C149" s="27" t="n"/>
      <c r="D149" s="27" t="n"/>
      <c r="E149" s="27" t="n"/>
      <c r="F149" s="27" t="n"/>
      <c r="G149" s="27" t="n"/>
      <c r="H149" s="27" t="n"/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27" t="n"/>
      <c r="S149" s="27" t="n"/>
      <c r="T149" s="27" t="n"/>
      <c r="U149" s="28">
        <f>IF(A149="","",IF(COUNTIF($B$5:$B$304,B149)&gt;1,"DUPLICATE","UNIQUE"))</f>
        <v/>
      </c>
      <c r="V149" s="28">
        <f>IF(A149="","",IF(AND(B149&lt;&gt;"",C149&lt;&gt;"",D149&lt;&gt;"",E149&lt;&gt;"",F149&lt;&gt;"",G149&lt;&gt;"",H149&lt;&gt;"",J149&lt;&gt;"",K149&lt;&gt;"",L149&lt;&gt;"",M149&lt;&gt;"",O149&lt;&gt;"",P149&lt;&gt;"",R149&lt;&gt;""),"COMPLETE","MISSING FIELDS"))</f>
        <v/>
      </c>
    </row>
    <row r="150" ht="15" customHeight="1" s="15">
      <c r="A150" s="27" t="n"/>
      <c r="B150" s="27" t="n"/>
      <c r="C150" s="27" t="n"/>
      <c r="D150" s="27" t="n"/>
      <c r="E150" s="27" t="n"/>
      <c r="F150" s="27" t="n"/>
      <c r="G150" s="27" t="n"/>
      <c r="H150" s="27" t="n"/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27" t="n"/>
      <c r="S150" s="27" t="n"/>
      <c r="T150" s="27" t="n"/>
      <c r="U150" s="28">
        <f>IF(A150="","",IF(COUNTIF($B$5:$B$304,B150)&gt;1,"DUPLICATE","UNIQUE"))</f>
        <v/>
      </c>
      <c r="V150" s="28">
        <f>IF(A150="","",IF(AND(B150&lt;&gt;"",C150&lt;&gt;"",D150&lt;&gt;"",E150&lt;&gt;"",F150&lt;&gt;"",G150&lt;&gt;"",H150&lt;&gt;"",J150&lt;&gt;"",K150&lt;&gt;"",L150&lt;&gt;"",M150&lt;&gt;"",O150&lt;&gt;"",P150&lt;&gt;"",R150&lt;&gt;""),"COMPLETE","MISSING FIELDS"))</f>
        <v/>
      </c>
    </row>
    <row r="151" ht="15" customHeight="1" s="15">
      <c r="A151" s="27" t="n"/>
      <c r="B151" s="27" t="n"/>
      <c r="C151" s="27" t="n"/>
      <c r="D151" s="27" t="n"/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27" t="n"/>
      <c r="S151" s="27" t="n"/>
      <c r="T151" s="27" t="n"/>
      <c r="U151" s="28">
        <f>IF(A151="","",IF(COUNTIF($B$5:$B$304,B151)&gt;1,"DUPLICATE","UNIQUE"))</f>
        <v/>
      </c>
      <c r="V151" s="28">
        <f>IF(A151="","",IF(AND(B151&lt;&gt;"",C151&lt;&gt;"",D151&lt;&gt;"",E151&lt;&gt;"",F151&lt;&gt;"",G151&lt;&gt;"",H151&lt;&gt;"",J151&lt;&gt;"",K151&lt;&gt;"",L151&lt;&gt;"",M151&lt;&gt;"",O151&lt;&gt;"",P151&lt;&gt;"",R151&lt;&gt;""),"COMPLETE","MISSING FIELDS"))</f>
        <v/>
      </c>
    </row>
    <row r="152" ht="15" customHeight="1" s="15">
      <c r="A152" s="27" t="n"/>
      <c r="B152" s="27" t="n"/>
      <c r="C152" s="27" t="n"/>
      <c r="D152" s="27" t="n"/>
      <c r="E152" s="27" t="n"/>
      <c r="F152" s="27" t="n"/>
      <c r="G152" s="27" t="n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  <c r="R152" s="27" t="n"/>
      <c r="S152" s="27" t="n"/>
      <c r="T152" s="27" t="n"/>
      <c r="U152" s="28">
        <f>IF(A152="","",IF(COUNTIF($B$5:$B$304,B152)&gt;1,"DUPLICATE","UNIQUE"))</f>
        <v/>
      </c>
      <c r="V152" s="28">
        <f>IF(A152="","",IF(AND(B152&lt;&gt;"",C152&lt;&gt;"",D152&lt;&gt;"",E152&lt;&gt;"",F152&lt;&gt;"",G152&lt;&gt;"",H152&lt;&gt;"",J152&lt;&gt;"",K152&lt;&gt;"",L152&lt;&gt;"",M152&lt;&gt;"",O152&lt;&gt;"",P152&lt;&gt;"",R152&lt;&gt;""),"COMPLETE","MISSING FIELDS"))</f>
        <v/>
      </c>
    </row>
    <row r="153" ht="15" customHeight="1" s="15">
      <c r="A153" s="27" t="n"/>
      <c r="B153" s="27" t="n"/>
      <c r="C153" s="27" t="n"/>
      <c r="D153" s="27" t="n"/>
      <c r="E153" s="27" t="n"/>
      <c r="F153" s="27" t="n"/>
      <c r="G153" s="27" t="n"/>
      <c r="H153" s="27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27" t="n"/>
      <c r="S153" s="27" t="n"/>
      <c r="T153" s="27" t="n"/>
      <c r="U153" s="28">
        <f>IF(A153="","",IF(COUNTIF($B$5:$B$304,B153)&gt;1,"DUPLICATE","UNIQUE"))</f>
        <v/>
      </c>
      <c r="V153" s="28">
        <f>IF(A153="","",IF(AND(B153&lt;&gt;"",C153&lt;&gt;"",D153&lt;&gt;"",E153&lt;&gt;"",F153&lt;&gt;"",G153&lt;&gt;"",H153&lt;&gt;"",J153&lt;&gt;"",K153&lt;&gt;"",L153&lt;&gt;"",M153&lt;&gt;"",O153&lt;&gt;"",P153&lt;&gt;"",R153&lt;&gt;""),"COMPLETE","MISSING FIELDS"))</f>
        <v/>
      </c>
    </row>
    <row r="154" ht="15" customHeight="1" s="15">
      <c r="A154" s="27" t="n"/>
      <c r="B154" s="27" t="n"/>
      <c r="C154" s="27" t="n"/>
      <c r="D154" s="27" t="n"/>
      <c r="E154" s="27" t="n"/>
      <c r="F154" s="27" t="n"/>
      <c r="G154" s="27" t="n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27" t="n"/>
      <c r="S154" s="27" t="n"/>
      <c r="T154" s="27" t="n"/>
      <c r="U154" s="28">
        <f>IF(A154="","",IF(COUNTIF($B$5:$B$304,B154)&gt;1,"DUPLICATE","UNIQUE"))</f>
        <v/>
      </c>
      <c r="V154" s="28">
        <f>IF(A154="","",IF(AND(B154&lt;&gt;"",C154&lt;&gt;"",D154&lt;&gt;"",E154&lt;&gt;"",F154&lt;&gt;"",G154&lt;&gt;"",H154&lt;&gt;"",J154&lt;&gt;"",K154&lt;&gt;"",L154&lt;&gt;"",M154&lt;&gt;"",O154&lt;&gt;"",P154&lt;&gt;"",R154&lt;&gt;""),"COMPLETE","MISSING FIELDS"))</f>
        <v/>
      </c>
    </row>
    <row r="155" ht="15" customHeight="1" s="15">
      <c r="A155" s="27" t="n"/>
      <c r="B155" s="27" t="n"/>
      <c r="C155" s="27" t="n"/>
      <c r="D155" s="27" t="n"/>
      <c r="E155" s="27" t="n"/>
      <c r="F155" s="27" t="n"/>
      <c r="G155" s="27" t="n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27" t="n"/>
      <c r="S155" s="27" t="n"/>
      <c r="T155" s="27" t="n"/>
      <c r="U155" s="28">
        <f>IF(A155="","",IF(COUNTIF($B$5:$B$304,B155)&gt;1,"DUPLICATE","UNIQUE"))</f>
        <v/>
      </c>
      <c r="V155" s="28">
        <f>IF(A155="","",IF(AND(B155&lt;&gt;"",C155&lt;&gt;"",D155&lt;&gt;"",E155&lt;&gt;"",F155&lt;&gt;"",G155&lt;&gt;"",H155&lt;&gt;"",J155&lt;&gt;"",K155&lt;&gt;"",L155&lt;&gt;"",M155&lt;&gt;"",O155&lt;&gt;"",P155&lt;&gt;"",R155&lt;&gt;""),"COMPLETE","MISSING FIELDS"))</f>
        <v/>
      </c>
    </row>
    <row r="156" ht="15" customHeight="1" s="15">
      <c r="A156" s="27" t="n"/>
      <c r="B156" s="27" t="n"/>
      <c r="C156" s="27" t="n"/>
      <c r="D156" s="27" t="n"/>
      <c r="E156" s="27" t="n"/>
      <c r="F156" s="27" t="n"/>
      <c r="G156" s="27" t="n"/>
      <c r="H156" s="27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n"/>
      <c r="R156" s="27" t="n"/>
      <c r="S156" s="27" t="n"/>
      <c r="T156" s="27" t="n"/>
      <c r="U156" s="28">
        <f>IF(A156="","",IF(COUNTIF($B$5:$B$304,B156)&gt;1,"DUPLICATE","UNIQUE"))</f>
        <v/>
      </c>
      <c r="V156" s="28">
        <f>IF(A156="","",IF(AND(B156&lt;&gt;"",C156&lt;&gt;"",D156&lt;&gt;"",E156&lt;&gt;"",F156&lt;&gt;"",G156&lt;&gt;"",H156&lt;&gt;"",J156&lt;&gt;"",K156&lt;&gt;"",L156&lt;&gt;"",M156&lt;&gt;"",O156&lt;&gt;"",P156&lt;&gt;"",R156&lt;&gt;""),"COMPLETE","MISSING FIELDS"))</f>
        <v/>
      </c>
    </row>
    <row r="157" ht="15" customHeight="1" s="15">
      <c r="A157" s="27" t="n"/>
      <c r="B157" s="27" t="n"/>
      <c r="C157" s="27" t="n"/>
      <c r="D157" s="27" t="n"/>
      <c r="E157" s="27" t="n"/>
      <c r="F157" s="27" t="n"/>
      <c r="G157" s="27" t="n"/>
      <c r="H157" s="27" t="n"/>
      <c r="I157" s="27" t="n"/>
      <c r="J157" s="27" t="n"/>
      <c r="K157" s="27" t="n"/>
      <c r="L157" s="27" t="n"/>
      <c r="M157" s="27" t="n"/>
      <c r="N157" s="27" t="n"/>
      <c r="O157" s="27" t="n"/>
      <c r="P157" s="27" t="n"/>
      <c r="Q157" s="27" t="n"/>
      <c r="R157" s="27" t="n"/>
      <c r="S157" s="27" t="n"/>
      <c r="T157" s="27" t="n"/>
      <c r="U157" s="28">
        <f>IF(A157="","",IF(COUNTIF($B$5:$B$304,B157)&gt;1,"DUPLICATE","UNIQUE"))</f>
        <v/>
      </c>
      <c r="V157" s="28">
        <f>IF(A157="","",IF(AND(B157&lt;&gt;"",C157&lt;&gt;"",D157&lt;&gt;"",E157&lt;&gt;"",F157&lt;&gt;"",G157&lt;&gt;"",H157&lt;&gt;"",J157&lt;&gt;"",K157&lt;&gt;"",L157&lt;&gt;"",M157&lt;&gt;"",O157&lt;&gt;"",P157&lt;&gt;"",R157&lt;&gt;""),"COMPLETE","MISSING FIELDS"))</f>
        <v/>
      </c>
    </row>
    <row r="158" ht="15" customHeight="1" s="15">
      <c r="A158" s="27" t="n"/>
      <c r="B158" s="27" t="n"/>
      <c r="C158" s="27" t="n"/>
      <c r="D158" s="27" t="n"/>
      <c r="E158" s="27" t="n"/>
      <c r="F158" s="27" t="n"/>
      <c r="G158" s="27" t="n"/>
      <c r="H158" s="27" t="n"/>
      <c r="I158" s="27" t="n"/>
      <c r="J158" s="27" t="n"/>
      <c r="K158" s="27" t="n"/>
      <c r="L158" s="27" t="n"/>
      <c r="M158" s="27" t="n"/>
      <c r="N158" s="27" t="n"/>
      <c r="O158" s="27" t="n"/>
      <c r="P158" s="27" t="n"/>
      <c r="Q158" s="27" t="n"/>
      <c r="R158" s="27" t="n"/>
      <c r="S158" s="27" t="n"/>
      <c r="T158" s="27" t="n"/>
      <c r="U158" s="28">
        <f>IF(A158="","",IF(COUNTIF($B$5:$B$304,B158)&gt;1,"DUPLICATE","UNIQUE"))</f>
        <v/>
      </c>
      <c r="V158" s="28">
        <f>IF(A158="","",IF(AND(B158&lt;&gt;"",C158&lt;&gt;"",D158&lt;&gt;"",E158&lt;&gt;"",F158&lt;&gt;"",G158&lt;&gt;"",H158&lt;&gt;"",J158&lt;&gt;"",K158&lt;&gt;"",L158&lt;&gt;"",M158&lt;&gt;"",O158&lt;&gt;"",P158&lt;&gt;"",R158&lt;&gt;""),"COMPLETE","MISSING FIELDS"))</f>
        <v/>
      </c>
    </row>
    <row r="159" ht="15" customHeight="1" s="15">
      <c r="A159" s="27" t="n"/>
      <c r="B159" s="27" t="n"/>
      <c r="C159" s="27" t="n"/>
      <c r="D159" s="27" t="n"/>
      <c r="E159" s="27" t="n"/>
      <c r="F159" s="27" t="n"/>
      <c r="G159" s="27" t="n"/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n"/>
      <c r="R159" s="27" t="n"/>
      <c r="S159" s="27" t="n"/>
      <c r="T159" s="27" t="n"/>
      <c r="U159" s="28">
        <f>IF(A159="","",IF(COUNTIF($B$5:$B$304,B159)&gt;1,"DUPLICATE","UNIQUE"))</f>
        <v/>
      </c>
      <c r="V159" s="28">
        <f>IF(A159="","",IF(AND(B159&lt;&gt;"",C159&lt;&gt;"",D159&lt;&gt;"",E159&lt;&gt;"",F159&lt;&gt;"",G159&lt;&gt;"",H159&lt;&gt;"",J159&lt;&gt;"",K159&lt;&gt;"",L159&lt;&gt;"",M159&lt;&gt;"",O159&lt;&gt;"",P159&lt;&gt;"",R159&lt;&gt;""),"COMPLETE","MISSING FIELDS"))</f>
        <v/>
      </c>
    </row>
    <row r="160" ht="15" customHeight="1" s="15">
      <c r="A160" s="27" t="n"/>
      <c r="B160" s="27" t="n"/>
      <c r="C160" s="27" t="n"/>
      <c r="D160" s="27" t="n"/>
      <c r="E160" s="27" t="n"/>
      <c r="F160" s="27" t="n"/>
      <c r="G160" s="27" t="n"/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  <c r="R160" s="27" t="n"/>
      <c r="S160" s="27" t="n"/>
      <c r="T160" s="27" t="n"/>
      <c r="U160" s="28">
        <f>IF(A160="","",IF(COUNTIF($B$5:$B$304,B160)&gt;1,"DUPLICATE","UNIQUE"))</f>
        <v/>
      </c>
      <c r="V160" s="28">
        <f>IF(A160="","",IF(AND(B160&lt;&gt;"",C160&lt;&gt;"",D160&lt;&gt;"",E160&lt;&gt;"",F160&lt;&gt;"",G160&lt;&gt;"",H160&lt;&gt;"",J160&lt;&gt;"",K160&lt;&gt;"",L160&lt;&gt;"",M160&lt;&gt;"",O160&lt;&gt;"",P160&lt;&gt;"",R160&lt;&gt;""),"COMPLETE","MISSING FIELDS"))</f>
        <v/>
      </c>
    </row>
    <row r="161" ht="15" customHeight="1" s="15">
      <c r="A161" s="27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  <c r="T161" s="27" t="n"/>
      <c r="U161" s="28">
        <f>IF(A161="","",IF(COUNTIF($B$5:$B$304,B161)&gt;1,"DUPLICATE","UNIQUE"))</f>
        <v/>
      </c>
      <c r="V161" s="28">
        <f>IF(A161="","",IF(AND(B161&lt;&gt;"",C161&lt;&gt;"",D161&lt;&gt;"",E161&lt;&gt;"",F161&lt;&gt;"",G161&lt;&gt;"",H161&lt;&gt;"",J161&lt;&gt;"",K161&lt;&gt;"",L161&lt;&gt;"",M161&lt;&gt;"",O161&lt;&gt;"",P161&lt;&gt;"",R161&lt;&gt;""),"COMPLETE","MISSING FIELDS"))</f>
        <v/>
      </c>
    </row>
    <row r="162" ht="15" customHeight="1" s="15">
      <c r="A162" s="27" t="n"/>
      <c r="B162" s="27" t="n"/>
      <c r="C162" s="27" t="n"/>
      <c r="D162" s="27" t="n"/>
      <c r="E162" s="27" t="n"/>
      <c r="F162" s="27" t="n"/>
      <c r="G162" s="27" t="n"/>
      <c r="H162" s="27" t="n"/>
      <c r="I162" s="27" t="n"/>
      <c r="J162" s="27" t="n"/>
      <c r="K162" s="27" t="n"/>
      <c r="L162" s="27" t="n"/>
      <c r="M162" s="27" t="n"/>
      <c r="N162" s="27" t="n"/>
      <c r="O162" s="27" t="n"/>
      <c r="P162" s="27" t="n"/>
      <c r="Q162" s="27" t="n"/>
      <c r="R162" s="27" t="n"/>
      <c r="S162" s="27" t="n"/>
      <c r="T162" s="27" t="n"/>
      <c r="U162" s="28">
        <f>IF(A162="","",IF(COUNTIF($B$5:$B$304,B162)&gt;1,"DUPLICATE","UNIQUE"))</f>
        <v/>
      </c>
      <c r="V162" s="28">
        <f>IF(A162="","",IF(AND(B162&lt;&gt;"",C162&lt;&gt;"",D162&lt;&gt;"",E162&lt;&gt;"",F162&lt;&gt;"",G162&lt;&gt;"",H162&lt;&gt;"",J162&lt;&gt;"",K162&lt;&gt;"",L162&lt;&gt;"",M162&lt;&gt;"",O162&lt;&gt;"",P162&lt;&gt;"",R162&lt;&gt;""),"COMPLETE","MISSING FIELDS"))</f>
        <v/>
      </c>
    </row>
    <row r="163" ht="15" customHeight="1" s="15">
      <c r="A163" s="27" t="n"/>
      <c r="B163" s="27" t="n"/>
      <c r="C163" s="27" t="n"/>
      <c r="D163" s="27" t="n"/>
      <c r="E163" s="27" t="n"/>
      <c r="F163" s="27" t="n"/>
      <c r="G163" s="27" t="n"/>
      <c r="H163" s="27" t="n"/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27" t="n"/>
      <c r="R163" s="27" t="n"/>
      <c r="S163" s="27" t="n"/>
      <c r="T163" s="27" t="n"/>
      <c r="U163" s="28">
        <f>IF(A163="","",IF(COUNTIF($B$5:$B$304,B163)&gt;1,"DUPLICATE","UNIQUE"))</f>
        <v/>
      </c>
      <c r="V163" s="28">
        <f>IF(A163="","",IF(AND(B163&lt;&gt;"",C163&lt;&gt;"",D163&lt;&gt;"",E163&lt;&gt;"",F163&lt;&gt;"",G163&lt;&gt;"",H163&lt;&gt;"",J163&lt;&gt;"",K163&lt;&gt;"",L163&lt;&gt;"",M163&lt;&gt;"",O163&lt;&gt;"",P163&lt;&gt;"",R163&lt;&gt;""),"COMPLETE","MISSING FIELDS"))</f>
        <v/>
      </c>
    </row>
    <row r="164" ht="15" customHeight="1" s="15">
      <c r="A164" s="27" t="n"/>
      <c r="B164" s="27" t="n"/>
      <c r="C164" s="27" t="n"/>
      <c r="D164" s="27" t="n"/>
      <c r="E164" s="27" t="n"/>
      <c r="F164" s="27" t="n"/>
      <c r="G164" s="27" t="n"/>
      <c r="H164" s="27" t="n"/>
      <c r="I164" s="27" t="n"/>
      <c r="J164" s="27" t="n"/>
      <c r="K164" s="27" t="n"/>
      <c r="L164" s="27" t="n"/>
      <c r="M164" s="27" t="n"/>
      <c r="N164" s="27" t="n"/>
      <c r="O164" s="27" t="n"/>
      <c r="P164" s="27" t="n"/>
      <c r="Q164" s="27" t="n"/>
      <c r="R164" s="27" t="n"/>
      <c r="S164" s="27" t="n"/>
      <c r="T164" s="27" t="n"/>
      <c r="U164" s="28">
        <f>IF(A164="","",IF(COUNTIF($B$5:$B$304,B164)&gt;1,"DUPLICATE","UNIQUE"))</f>
        <v/>
      </c>
      <c r="V164" s="28">
        <f>IF(A164="","",IF(AND(B164&lt;&gt;"",C164&lt;&gt;"",D164&lt;&gt;"",E164&lt;&gt;"",F164&lt;&gt;"",G164&lt;&gt;"",H164&lt;&gt;"",J164&lt;&gt;"",K164&lt;&gt;"",L164&lt;&gt;"",M164&lt;&gt;"",O164&lt;&gt;"",P164&lt;&gt;"",R164&lt;&gt;""),"COMPLETE","MISSING FIELDS"))</f>
        <v/>
      </c>
    </row>
    <row r="165" ht="15" customHeight="1" s="15">
      <c r="A165" s="27" t="n"/>
      <c r="B165" s="27" t="n"/>
      <c r="C165" s="27" t="n"/>
      <c r="D165" s="27" t="n"/>
      <c r="E165" s="27" t="n"/>
      <c r="F165" s="27" t="n"/>
      <c r="G165" s="27" t="n"/>
      <c r="H165" s="27" t="n"/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27" t="n"/>
      <c r="R165" s="27" t="n"/>
      <c r="S165" s="27" t="n"/>
      <c r="T165" s="27" t="n"/>
      <c r="U165" s="28">
        <f>IF(A165="","",IF(COUNTIF($B$5:$B$304,B165)&gt;1,"DUPLICATE","UNIQUE"))</f>
        <v/>
      </c>
      <c r="V165" s="28">
        <f>IF(A165="","",IF(AND(B165&lt;&gt;"",C165&lt;&gt;"",D165&lt;&gt;"",E165&lt;&gt;"",F165&lt;&gt;"",G165&lt;&gt;"",H165&lt;&gt;"",J165&lt;&gt;"",K165&lt;&gt;"",L165&lt;&gt;"",M165&lt;&gt;"",O165&lt;&gt;"",P165&lt;&gt;"",R165&lt;&gt;""),"COMPLETE","MISSING FIELDS"))</f>
        <v/>
      </c>
    </row>
    <row r="166" ht="15" customHeight="1" s="15">
      <c r="A166" s="27" t="n"/>
      <c r="B166" s="27" t="n"/>
      <c r="C166" s="27" t="n"/>
      <c r="D166" s="27" t="n"/>
      <c r="E166" s="27" t="n"/>
      <c r="F166" s="27" t="n"/>
      <c r="G166" s="27" t="n"/>
      <c r="H166" s="27" t="n"/>
      <c r="I166" s="27" t="n"/>
      <c r="J166" s="27" t="n"/>
      <c r="K166" s="27" t="n"/>
      <c r="L166" s="27" t="n"/>
      <c r="M166" s="27" t="n"/>
      <c r="N166" s="27" t="n"/>
      <c r="O166" s="27" t="n"/>
      <c r="P166" s="27" t="n"/>
      <c r="Q166" s="27" t="n"/>
      <c r="R166" s="27" t="n"/>
      <c r="S166" s="27" t="n"/>
      <c r="T166" s="27" t="n"/>
      <c r="U166" s="28">
        <f>IF(A166="","",IF(COUNTIF($B$5:$B$304,B166)&gt;1,"DUPLICATE","UNIQUE"))</f>
        <v/>
      </c>
      <c r="V166" s="28">
        <f>IF(A166="","",IF(AND(B166&lt;&gt;"",C166&lt;&gt;"",D166&lt;&gt;"",E166&lt;&gt;"",F166&lt;&gt;"",G166&lt;&gt;"",H166&lt;&gt;"",J166&lt;&gt;"",K166&lt;&gt;"",L166&lt;&gt;"",M166&lt;&gt;"",O166&lt;&gt;"",P166&lt;&gt;"",R166&lt;&gt;""),"COMPLETE","MISSING FIELDS"))</f>
        <v/>
      </c>
    </row>
    <row r="167" ht="15" customHeight="1" s="15">
      <c r="A167" s="27" t="n"/>
      <c r="B167" s="27" t="n"/>
      <c r="C167" s="27" t="n"/>
      <c r="D167" s="27" t="n"/>
      <c r="E167" s="27" t="n"/>
      <c r="F167" s="27" t="n"/>
      <c r="G167" s="27" t="n"/>
      <c r="H167" s="27" t="n"/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27" t="n"/>
      <c r="R167" s="27" t="n"/>
      <c r="S167" s="27" t="n"/>
      <c r="T167" s="27" t="n"/>
      <c r="U167" s="28">
        <f>IF(A167="","",IF(COUNTIF($B$5:$B$304,B167)&gt;1,"DUPLICATE","UNIQUE"))</f>
        <v/>
      </c>
      <c r="V167" s="28">
        <f>IF(A167="","",IF(AND(B167&lt;&gt;"",C167&lt;&gt;"",D167&lt;&gt;"",E167&lt;&gt;"",F167&lt;&gt;"",G167&lt;&gt;"",H167&lt;&gt;"",J167&lt;&gt;"",K167&lt;&gt;"",L167&lt;&gt;"",M167&lt;&gt;"",O167&lt;&gt;"",P167&lt;&gt;"",R167&lt;&gt;""),"COMPLETE","MISSING FIELDS"))</f>
        <v/>
      </c>
    </row>
    <row r="168" ht="15" customHeight="1" s="15">
      <c r="A168" s="27" t="n"/>
      <c r="B168" s="27" t="n"/>
      <c r="C168" s="27" t="n"/>
      <c r="D168" s="27" t="n"/>
      <c r="E168" s="27" t="n"/>
      <c r="F168" s="27" t="n"/>
      <c r="G168" s="27" t="n"/>
      <c r="H168" s="27" t="n"/>
      <c r="I168" s="27" t="n"/>
      <c r="J168" s="27" t="n"/>
      <c r="K168" s="27" t="n"/>
      <c r="L168" s="27" t="n"/>
      <c r="M168" s="27" t="n"/>
      <c r="N168" s="27" t="n"/>
      <c r="O168" s="27" t="n"/>
      <c r="P168" s="27" t="n"/>
      <c r="Q168" s="27" t="n"/>
      <c r="R168" s="27" t="n"/>
      <c r="S168" s="27" t="n"/>
      <c r="T168" s="27" t="n"/>
      <c r="U168" s="28">
        <f>IF(A168="","",IF(COUNTIF($B$5:$B$304,B168)&gt;1,"DUPLICATE","UNIQUE"))</f>
        <v/>
      </c>
      <c r="V168" s="28">
        <f>IF(A168="","",IF(AND(B168&lt;&gt;"",C168&lt;&gt;"",D168&lt;&gt;"",E168&lt;&gt;"",F168&lt;&gt;"",G168&lt;&gt;"",H168&lt;&gt;"",J168&lt;&gt;"",K168&lt;&gt;"",L168&lt;&gt;"",M168&lt;&gt;"",O168&lt;&gt;"",P168&lt;&gt;"",R168&lt;&gt;""),"COMPLETE","MISSING FIELDS"))</f>
        <v/>
      </c>
    </row>
    <row r="169" ht="15" customHeight="1" s="15">
      <c r="A169" s="27" t="n"/>
      <c r="B169" s="27" t="n"/>
      <c r="C169" s="27" t="n"/>
      <c r="D169" s="27" t="n"/>
      <c r="E169" s="27" t="n"/>
      <c r="F169" s="27" t="n"/>
      <c r="G169" s="27" t="n"/>
      <c r="H169" s="27" t="n"/>
      <c r="I169" s="27" t="n"/>
      <c r="J169" s="27" t="n"/>
      <c r="K169" s="27" t="n"/>
      <c r="L169" s="27" t="n"/>
      <c r="M169" s="27" t="n"/>
      <c r="N169" s="27" t="n"/>
      <c r="O169" s="27" t="n"/>
      <c r="P169" s="27" t="n"/>
      <c r="Q169" s="27" t="n"/>
      <c r="R169" s="27" t="n"/>
      <c r="S169" s="27" t="n"/>
      <c r="T169" s="27" t="n"/>
      <c r="U169" s="28">
        <f>IF(A169="","",IF(COUNTIF($B$5:$B$304,B169)&gt;1,"DUPLICATE","UNIQUE"))</f>
        <v/>
      </c>
      <c r="V169" s="28">
        <f>IF(A169="","",IF(AND(B169&lt;&gt;"",C169&lt;&gt;"",D169&lt;&gt;"",E169&lt;&gt;"",F169&lt;&gt;"",G169&lt;&gt;"",H169&lt;&gt;"",J169&lt;&gt;"",K169&lt;&gt;"",L169&lt;&gt;"",M169&lt;&gt;"",O169&lt;&gt;"",P169&lt;&gt;"",R169&lt;&gt;""),"COMPLETE","MISSING FIELDS"))</f>
        <v/>
      </c>
    </row>
    <row r="170" ht="15" customHeight="1" s="15">
      <c r="A170" s="27" t="n"/>
      <c r="B170" s="27" t="n"/>
      <c r="C170" s="27" t="n"/>
      <c r="D170" s="27" t="n"/>
      <c r="E170" s="27" t="n"/>
      <c r="F170" s="27" t="n"/>
      <c r="G170" s="27" t="n"/>
      <c r="H170" s="27" t="n"/>
      <c r="I170" s="27" t="n"/>
      <c r="J170" s="27" t="n"/>
      <c r="K170" s="27" t="n"/>
      <c r="L170" s="27" t="n"/>
      <c r="M170" s="27" t="n"/>
      <c r="N170" s="27" t="n"/>
      <c r="O170" s="27" t="n"/>
      <c r="P170" s="27" t="n"/>
      <c r="Q170" s="27" t="n"/>
      <c r="R170" s="27" t="n"/>
      <c r="S170" s="27" t="n"/>
      <c r="T170" s="27" t="n"/>
      <c r="U170" s="28">
        <f>IF(A170="","",IF(COUNTIF($B$5:$B$304,B170)&gt;1,"DUPLICATE","UNIQUE"))</f>
        <v/>
      </c>
      <c r="V170" s="28">
        <f>IF(A170="","",IF(AND(B170&lt;&gt;"",C170&lt;&gt;"",D170&lt;&gt;"",E170&lt;&gt;"",F170&lt;&gt;"",G170&lt;&gt;"",H170&lt;&gt;"",J170&lt;&gt;"",K170&lt;&gt;"",L170&lt;&gt;"",M170&lt;&gt;"",O170&lt;&gt;"",P170&lt;&gt;"",R170&lt;&gt;""),"COMPLETE","MISSING FIELDS"))</f>
        <v/>
      </c>
    </row>
    <row r="171" ht="15" customHeight="1" s="15">
      <c r="A171" s="27" t="n"/>
      <c r="B171" s="27" t="n"/>
      <c r="C171" s="27" t="n"/>
      <c r="D171" s="27" t="n"/>
      <c r="E171" s="27" t="n"/>
      <c r="F171" s="27" t="n"/>
      <c r="G171" s="27" t="n"/>
      <c r="H171" s="27" t="n"/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27" t="n"/>
      <c r="R171" s="27" t="n"/>
      <c r="S171" s="27" t="n"/>
      <c r="T171" s="27" t="n"/>
      <c r="U171" s="28">
        <f>IF(A171="","",IF(COUNTIF($B$5:$B$304,B171)&gt;1,"DUPLICATE","UNIQUE"))</f>
        <v/>
      </c>
      <c r="V171" s="28">
        <f>IF(A171="","",IF(AND(B171&lt;&gt;"",C171&lt;&gt;"",D171&lt;&gt;"",E171&lt;&gt;"",F171&lt;&gt;"",G171&lt;&gt;"",H171&lt;&gt;"",J171&lt;&gt;"",K171&lt;&gt;"",L171&lt;&gt;"",M171&lt;&gt;"",O171&lt;&gt;"",P171&lt;&gt;"",R171&lt;&gt;""),"COMPLETE","MISSING FIELDS"))</f>
        <v/>
      </c>
    </row>
    <row r="172" ht="15" customHeight="1" s="15">
      <c r="A172" s="27" t="n"/>
      <c r="B172" s="27" t="n"/>
      <c r="C172" s="27" t="n"/>
      <c r="D172" s="27" t="n"/>
      <c r="E172" s="27" t="n"/>
      <c r="F172" s="27" t="n"/>
      <c r="G172" s="27" t="n"/>
      <c r="H172" s="27" t="n"/>
      <c r="I172" s="27" t="n"/>
      <c r="J172" s="27" t="n"/>
      <c r="K172" s="27" t="n"/>
      <c r="L172" s="27" t="n"/>
      <c r="M172" s="27" t="n"/>
      <c r="N172" s="27" t="n"/>
      <c r="O172" s="27" t="n"/>
      <c r="P172" s="27" t="n"/>
      <c r="Q172" s="27" t="n"/>
      <c r="R172" s="27" t="n"/>
      <c r="S172" s="27" t="n"/>
      <c r="T172" s="27" t="n"/>
      <c r="U172" s="28">
        <f>IF(A172="","",IF(COUNTIF($B$5:$B$304,B172)&gt;1,"DUPLICATE","UNIQUE"))</f>
        <v/>
      </c>
      <c r="V172" s="28">
        <f>IF(A172="","",IF(AND(B172&lt;&gt;"",C172&lt;&gt;"",D172&lt;&gt;"",E172&lt;&gt;"",F172&lt;&gt;"",G172&lt;&gt;"",H172&lt;&gt;"",J172&lt;&gt;"",K172&lt;&gt;"",L172&lt;&gt;"",M172&lt;&gt;"",O172&lt;&gt;"",P172&lt;&gt;"",R172&lt;&gt;""),"COMPLETE","MISSING FIELDS"))</f>
        <v/>
      </c>
    </row>
    <row r="173" ht="15" customHeight="1" s="15">
      <c r="A173" s="27" t="n"/>
      <c r="B173" s="27" t="n"/>
      <c r="C173" s="27" t="n"/>
      <c r="D173" s="27" t="n"/>
      <c r="E173" s="27" t="n"/>
      <c r="F173" s="27" t="n"/>
      <c r="G173" s="27" t="n"/>
      <c r="H173" s="27" t="n"/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27" t="n"/>
      <c r="R173" s="27" t="n"/>
      <c r="S173" s="27" t="n"/>
      <c r="T173" s="27" t="n"/>
      <c r="U173" s="28">
        <f>IF(A173="","",IF(COUNTIF($B$5:$B$304,B173)&gt;1,"DUPLICATE","UNIQUE"))</f>
        <v/>
      </c>
      <c r="V173" s="28">
        <f>IF(A173="","",IF(AND(B173&lt;&gt;"",C173&lt;&gt;"",D173&lt;&gt;"",E173&lt;&gt;"",F173&lt;&gt;"",G173&lt;&gt;"",H173&lt;&gt;"",J173&lt;&gt;"",K173&lt;&gt;"",L173&lt;&gt;"",M173&lt;&gt;"",O173&lt;&gt;"",P173&lt;&gt;"",R173&lt;&gt;""),"COMPLETE","MISSING FIELDS"))</f>
        <v/>
      </c>
    </row>
    <row r="174" ht="15" customHeight="1" s="15">
      <c r="A174" s="27" t="n"/>
      <c r="B174" s="27" t="n"/>
      <c r="C174" s="27" t="n"/>
      <c r="D174" s="27" t="n"/>
      <c r="E174" s="27" t="n"/>
      <c r="F174" s="27" t="n"/>
      <c r="G174" s="27" t="n"/>
      <c r="H174" s="27" t="n"/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27" t="n"/>
      <c r="R174" s="27" t="n"/>
      <c r="S174" s="27" t="n"/>
      <c r="T174" s="27" t="n"/>
      <c r="U174" s="28">
        <f>IF(A174="","",IF(COUNTIF($B$5:$B$304,B174)&gt;1,"DUPLICATE","UNIQUE"))</f>
        <v/>
      </c>
      <c r="V174" s="28">
        <f>IF(A174="","",IF(AND(B174&lt;&gt;"",C174&lt;&gt;"",D174&lt;&gt;"",E174&lt;&gt;"",F174&lt;&gt;"",G174&lt;&gt;"",H174&lt;&gt;"",J174&lt;&gt;"",K174&lt;&gt;"",L174&lt;&gt;"",M174&lt;&gt;"",O174&lt;&gt;"",P174&lt;&gt;"",R174&lt;&gt;""),"COMPLETE","MISSING FIELDS"))</f>
        <v/>
      </c>
    </row>
    <row r="175" ht="15" customHeight="1" s="15">
      <c r="A175" s="27" t="n"/>
      <c r="B175" s="27" t="n"/>
      <c r="C175" s="27" t="n"/>
      <c r="D175" s="27" t="n"/>
      <c r="E175" s="27" t="n"/>
      <c r="F175" s="27" t="n"/>
      <c r="G175" s="27" t="n"/>
      <c r="H175" s="27" t="n"/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  <c r="R175" s="27" t="n"/>
      <c r="S175" s="27" t="n"/>
      <c r="T175" s="27" t="n"/>
      <c r="U175" s="28">
        <f>IF(A175="","",IF(COUNTIF($B$5:$B$304,B175)&gt;1,"DUPLICATE","UNIQUE"))</f>
        <v/>
      </c>
      <c r="V175" s="28">
        <f>IF(A175="","",IF(AND(B175&lt;&gt;"",C175&lt;&gt;"",D175&lt;&gt;"",E175&lt;&gt;"",F175&lt;&gt;"",G175&lt;&gt;"",H175&lt;&gt;"",J175&lt;&gt;"",K175&lt;&gt;"",L175&lt;&gt;"",M175&lt;&gt;"",O175&lt;&gt;"",P175&lt;&gt;"",R175&lt;&gt;""),"COMPLETE","MISSING FIELDS"))</f>
        <v/>
      </c>
    </row>
    <row r="176" ht="15" customHeight="1" s="15">
      <c r="A176" s="27" t="n"/>
      <c r="B176" s="27" t="n"/>
      <c r="C176" s="27" t="n"/>
      <c r="D176" s="27" t="n"/>
      <c r="E176" s="27" t="n"/>
      <c r="F176" s="27" t="n"/>
      <c r="G176" s="27" t="n"/>
      <c r="H176" s="27" t="n"/>
      <c r="I176" s="27" t="n"/>
      <c r="J176" s="27" t="n"/>
      <c r="K176" s="27" t="n"/>
      <c r="L176" s="27" t="n"/>
      <c r="M176" s="27" t="n"/>
      <c r="N176" s="27" t="n"/>
      <c r="O176" s="27" t="n"/>
      <c r="P176" s="27" t="n"/>
      <c r="Q176" s="27" t="n"/>
      <c r="R176" s="27" t="n"/>
      <c r="S176" s="27" t="n"/>
      <c r="T176" s="27" t="n"/>
      <c r="U176" s="28">
        <f>IF(A176="","",IF(COUNTIF($B$5:$B$304,B176)&gt;1,"DUPLICATE","UNIQUE"))</f>
        <v/>
      </c>
      <c r="V176" s="28">
        <f>IF(A176="","",IF(AND(B176&lt;&gt;"",C176&lt;&gt;"",D176&lt;&gt;"",E176&lt;&gt;"",F176&lt;&gt;"",G176&lt;&gt;"",H176&lt;&gt;"",J176&lt;&gt;"",K176&lt;&gt;"",L176&lt;&gt;"",M176&lt;&gt;"",O176&lt;&gt;"",P176&lt;&gt;"",R176&lt;&gt;""),"COMPLETE","MISSING FIELDS"))</f>
        <v/>
      </c>
    </row>
    <row r="177" ht="15" customHeight="1" s="15">
      <c r="A177" s="27" t="n"/>
      <c r="B177" s="27" t="n"/>
      <c r="C177" s="27" t="n"/>
      <c r="D177" s="27" t="n"/>
      <c r="E177" s="27" t="n"/>
      <c r="F177" s="27" t="n"/>
      <c r="G177" s="27" t="n"/>
      <c r="H177" s="27" t="n"/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27" t="n"/>
      <c r="R177" s="27" t="n"/>
      <c r="S177" s="27" t="n"/>
      <c r="T177" s="27" t="n"/>
      <c r="U177" s="28">
        <f>IF(A177="","",IF(COUNTIF($B$5:$B$304,B177)&gt;1,"DUPLICATE","UNIQUE"))</f>
        <v/>
      </c>
      <c r="V177" s="28">
        <f>IF(A177="","",IF(AND(B177&lt;&gt;"",C177&lt;&gt;"",D177&lt;&gt;"",E177&lt;&gt;"",F177&lt;&gt;"",G177&lt;&gt;"",H177&lt;&gt;"",J177&lt;&gt;"",K177&lt;&gt;"",L177&lt;&gt;"",M177&lt;&gt;"",O177&lt;&gt;"",P177&lt;&gt;"",R177&lt;&gt;""),"COMPLETE","MISSING FIELDS"))</f>
        <v/>
      </c>
    </row>
    <row r="178" ht="15" customHeight="1" s="15">
      <c r="A178" s="27" t="n"/>
      <c r="B178" s="27" t="n"/>
      <c r="C178" s="27" t="n"/>
      <c r="D178" s="27" t="n"/>
      <c r="E178" s="27" t="n"/>
      <c r="F178" s="27" t="n"/>
      <c r="G178" s="27" t="n"/>
      <c r="H178" s="27" t="n"/>
      <c r="I178" s="27" t="n"/>
      <c r="J178" s="27" t="n"/>
      <c r="K178" s="27" t="n"/>
      <c r="L178" s="27" t="n"/>
      <c r="M178" s="27" t="n"/>
      <c r="N178" s="27" t="n"/>
      <c r="O178" s="27" t="n"/>
      <c r="P178" s="27" t="n"/>
      <c r="Q178" s="27" t="n"/>
      <c r="R178" s="27" t="n"/>
      <c r="S178" s="27" t="n"/>
      <c r="T178" s="27" t="n"/>
      <c r="U178" s="28">
        <f>IF(A178="","",IF(COUNTIF($B$5:$B$304,B178)&gt;1,"DUPLICATE","UNIQUE"))</f>
        <v/>
      </c>
      <c r="V178" s="28">
        <f>IF(A178="","",IF(AND(B178&lt;&gt;"",C178&lt;&gt;"",D178&lt;&gt;"",E178&lt;&gt;"",F178&lt;&gt;"",G178&lt;&gt;"",H178&lt;&gt;"",J178&lt;&gt;"",K178&lt;&gt;"",L178&lt;&gt;"",M178&lt;&gt;"",O178&lt;&gt;"",P178&lt;&gt;"",R178&lt;&gt;""),"COMPLETE","MISSING FIELDS"))</f>
        <v/>
      </c>
    </row>
    <row r="179" ht="15" customHeight="1" s="15">
      <c r="A179" s="27" t="n"/>
      <c r="B179" s="27" t="n"/>
      <c r="C179" s="27" t="n"/>
      <c r="D179" s="27" t="n"/>
      <c r="E179" s="27" t="n"/>
      <c r="F179" s="27" t="n"/>
      <c r="G179" s="27" t="n"/>
      <c r="H179" s="27" t="n"/>
      <c r="I179" s="27" t="n"/>
      <c r="J179" s="27" t="n"/>
      <c r="K179" s="27" t="n"/>
      <c r="L179" s="27" t="n"/>
      <c r="M179" s="27" t="n"/>
      <c r="N179" s="27" t="n"/>
      <c r="O179" s="27" t="n"/>
      <c r="P179" s="27" t="n"/>
      <c r="Q179" s="27" t="n"/>
      <c r="R179" s="27" t="n"/>
      <c r="S179" s="27" t="n"/>
      <c r="T179" s="27" t="n"/>
      <c r="U179" s="28">
        <f>IF(A179="","",IF(COUNTIF($B$5:$B$304,B179)&gt;1,"DUPLICATE","UNIQUE"))</f>
        <v/>
      </c>
      <c r="V179" s="28">
        <f>IF(A179="","",IF(AND(B179&lt;&gt;"",C179&lt;&gt;"",D179&lt;&gt;"",E179&lt;&gt;"",F179&lt;&gt;"",G179&lt;&gt;"",H179&lt;&gt;"",J179&lt;&gt;"",K179&lt;&gt;"",L179&lt;&gt;"",M179&lt;&gt;"",O179&lt;&gt;"",P179&lt;&gt;"",R179&lt;&gt;""),"COMPLETE","MISSING FIELDS"))</f>
        <v/>
      </c>
    </row>
    <row r="180" ht="15" customHeight="1" s="15">
      <c r="A180" s="27" t="n"/>
      <c r="B180" s="27" t="n"/>
      <c r="C180" s="27" t="n"/>
      <c r="D180" s="27" t="n"/>
      <c r="E180" s="27" t="n"/>
      <c r="F180" s="27" t="n"/>
      <c r="G180" s="27" t="n"/>
      <c r="H180" s="27" t="n"/>
      <c r="I180" s="27" t="n"/>
      <c r="J180" s="27" t="n"/>
      <c r="K180" s="27" t="n"/>
      <c r="L180" s="27" t="n"/>
      <c r="M180" s="27" t="n"/>
      <c r="N180" s="27" t="n"/>
      <c r="O180" s="27" t="n"/>
      <c r="P180" s="27" t="n"/>
      <c r="Q180" s="27" t="n"/>
      <c r="R180" s="27" t="n"/>
      <c r="S180" s="27" t="n"/>
      <c r="T180" s="27" t="n"/>
      <c r="U180" s="28">
        <f>IF(A180="","",IF(COUNTIF($B$5:$B$304,B180)&gt;1,"DUPLICATE","UNIQUE"))</f>
        <v/>
      </c>
      <c r="V180" s="28">
        <f>IF(A180="","",IF(AND(B180&lt;&gt;"",C180&lt;&gt;"",D180&lt;&gt;"",E180&lt;&gt;"",F180&lt;&gt;"",G180&lt;&gt;"",H180&lt;&gt;"",J180&lt;&gt;"",K180&lt;&gt;"",L180&lt;&gt;"",M180&lt;&gt;"",O180&lt;&gt;"",P180&lt;&gt;"",R180&lt;&gt;""),"COMPLETE","MISSING FIELDS"))</f>
        <v/>
      </c>
    </row>
    <row r="181" ht="15" customHeight="1" s="15">
      <c r="A181" s="27" t="n"/>
      <c r="B181" s="27" t="n"/>
      <c r="C181" s="27" t="n"/>
      <c r="D181" s="27" t="n"/>
      <c r="E181" s="27" t="n"/>
      <c r="F181" s="27" t="n"/>
      <c r="G181" s="27" t="n"/>
      <c r="H181" s="27" t="n"/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27" t="n"/>
      <c r="R181" s="27" t="n"/>
      <c r="S181" s="27" t="n"/>
      <c r="T181" s="27" t="n"/>
      <c r="U181" s="28">
        <f>IF(A181="","",IF(COUNTIF($B$5:$B$304,B181)&gt;1,"DUPLICATE","UNIQUE"))</f>
        <v/>
      </c>
      <c r="V181" s="28">
        <f>IF(A181="","",IF(AND(B181&lt;&gt;"",C181&lt;&gt;"",D181&lt;&gt;"",E181&lt;&gt;"",F181&lt;&gt;"",G181&lt;&gt;"",H181&lt;&gt;"",J181&lt;&gt;"",K181&lt;&gt;"",L181&lt;&gt;"",M181&lt;&gt;"",O181&lt;&gt;"",P181&lt;&gt;"",R181&lt;&gt;""),"COMPLETE","MISSING FIELDS"))</f>
        <v/>
      </c>
    </row>
    <row r="182" ht="15" customHeight="1" s="15">
      <c r="A182" s="27" t="n"/>
      <c r="B182" s="27" t="n"/>
      <c r="C182" s="27" t="n"/>
      <c r="D182" s="27" t="n"/>
      <c r="E182" s="27" t="n"/>
      <c r="F182" s="27" t="n"/>
      <c r="G182" s="27" t="n"/>
      <c r="H182" s="27" t="n"/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  <c r="R182" s="27" t="n"/>
      <c r="S182" s="27" t="n"/>
      <c r="T182" s="27" t="n"/>
      <c r="U182" s="28">
        <f>IF(A182="","",IF(COUNTIF($B$5:$B$304,B182)&gt;1,"DUPLICATE","UNIQUE"))</f>
        <v/>
      </c>
      <c r="V182" s="28">
        <f>IF(A182="","",IF(AND(B182&lt;&gt;"",C182&lt;&gt;"",D182&lt;&gt;"",E182&lt;&gt;"",F182&lt;&gt;"",G182&lt;&gt;"",H182&lt;&gt;"",J182&lt;&gt;"",K182&lt;&gt;"",L182&lt;&gt;"",M182&lt;&gt;"",O182&lt;&gt;"",P182&lt;&gt;"",R182&lt;&gt;""),"COMPLETE","MISSING FIELDS"))</f>
        <v/>
      </c>
    </row>
    <row r="183" ht="15" customHeight="1" s="15">
      <c r="A183" s="27" t="n"/>
      <c r="B183" s="27" t="n"/>
      <c r="C183" s="27" t="n"/>
      <c r="D183" s="27" t="n"/>
      <c r="E183" s="27" t="n"/>
      <c r="F183" s="27" t="n"/>
      <c r="G183" s="27" t="n"/>
      <c r="H183" s="27" t="n"/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27" t="n"/>
      <c r="R183" s="27" t="n"/>
      <c r="S183" s="27" t="n"/>
      <c r="T183" s="27" t="n"/>
      <c r="U183" s="28">
        <f>IF(A183="","",IF(COUNTIF($B$5:$B$304,B183)&gt;1,"DUPLICATE","UNIQUE"))</f>
        <v/>
      </c>
      <c r="V183" s="28">
        <f>IF(A183="","",IF(AND(B183&lt;&gt;"",C183&lt;&gt;"",D183&lt;&gt;"",E183&lt;&gt;"",F183&lt;&gt;"",G183&lt;&gt;"",H183&lt;&gt;"",J183&lt;&gt;"",K183&lt;&gt;"",L183&lt;&gt;"",M183&lt;&gt;"",O183&lt;&gt;"",P183&lt;&gt;"",R183&lt;&gt;""),"COMPLETE","MISSING FIELDS"))</f>
        <v/>
      </c>
    </row>
    <row r="184" ht="15" customHeight="1" s="15">
      <c r="A184" s="27" t="n"/>
      <c r="B184" s="27" t="n"/>
      <c r="C184" s="27" t="n"/>
      <c r="D184" s="27" t="n"/>
      <c r="E184" s="27" t="n"/>
      <c r="F184" s="27" t="n"/>
      <c r="G184" s="27" t="n"/>
      <c r="H184" s="27" t="n"/>
      <c r="I184" s="27" t="n"/>
      <c r="J184" s="27" t="n"/>
      <c r="K184" s="27" t="n"/>
      <c r="L184" s="27" t="n"/>
      <c r="M184" s="27" t="n"/>
      <c r="N184" s="27" t="n"/>
      <c r="O184" s="27" t="n"/>
      <c r="P184" s="27" t="n"/>
      <c r="Q184" s="27" t="n"/>
      <c r="R184" s="27" t="n"/>
      <c r="S184" s="27" t="n"/>
      <c r="T184" s="27" t="n"/>
      <c r="U184" s="28">
        <f>IF(A184="","",IF(COUNTIF($B$5:$B$304,B184)&gt;1,"DUPLICATE","UNIQUE"))</f>
        <v/>
      </c>
      <c r="V184" s="28">
        <f>IF(A184="","",IF(AND(B184&lt;&gt;"",C184&lt;&gt;"",D184&lt;&gt;"",E184&lt;&gt;"",F184&lt;&gt;"",G184&lt;&gt;"",H184&lt;&gt;"",J184&lt;&gt;"",K184&lt;&gt;"",L184&lt;&gt;"",M184&lt;&gt;"",O184&lt;&gt;"",P184&lt;&gt;"",R184&lt;&gt;""),"COMPLETE","MISSING FIELDS"))</f>
        <v/>
      </c>
    </row>
    <row r="185" ht="15" customHeight="1" s="15">
      <c r="A185" s="27" t="n"/>
      <c r="B185" s="27" t="n"/>
      <c r="C185" s="27" t="n"/>
      <c r="D185" s="27" t="n"/>
      <c r="E185" s="27" t="n"/>
      <c r="F185" s="27" t="n"/>
      <c r="G185" s="27" t="n"/>
      <c r="H185" s="27" t="n"/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  <c r="R185" s="27" t="n"/>
      <c r="S185" s="27" t="n"/>
      <c r="T185" s="27" t="n"/>
      <c r="U185" s="28">
        <f>IF(A185="","",IF(COUNTIF($B$5:$B$304,B185)&gt;1,"DUPLICATE","UNIQUE"))</f>
        <v/>
      </c>
      <c r="V185" s="28">
        <f>IF(A185="","",IF(AND(B185&lt;&gt;"",C185&lt;&gt;"",D185&lt;&gt;"",E185&lt;&gt;"",F185&lt;&gt;"",G185&lt;&gt;"",H185&lt;&gt;"",J185&lt;&gt;"",K185&lt;&gt;"",L185&lt;&gt;"",M185&lt;&gt;"",O185&lt;&gt;"",P185&lt;&gt;"",R185&lt;&gt;""),"COMPLETE","MISSING FIELDS"))</f>
        <v/>
      </c>
    </row>
    <row r="186" ht="15" customHeight="1" s="15">
      <c r="A186" s="27" t="n"/>
      <c r="B186" s="27" t="n"/>
      <c r="C186" s="27" t="n"/>
      <c r="D186" s="27" t="n"/>
      <c r="E186" s="27" t="n"/>
      <c r="F186" s="27" t="n"/>
      <c r="G186" s="27" t="n"/>
      <c r="H186" s="27" t="n"/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  <c r="R186" s="27" t="n"/>
      <c r="S186" s="27" t="n"/>
      <c r="T186" s="27" t="n"/>
      <c r="U186" s="28">
        <f>IF(A186="","",IF(COUNTIF($B$5:$B$304,B186)&gt;1,"DUPLICATE","UNIQUE"))</f>
        <v/>
      </c>
      <c r="V186" s="28">
        <f>IF(A186="","",IF(AND(B186&lt;&gt;"",C186&lt;&gt;"",D186&lt;&gt;"",E186&lt;&gt;"",F186&lt;&gt;"",G186&lt;&gt;"",H186&lt;&gt;"",J186&lt;&gt;"",K186&lt;&gt;"",L186&lt;&gt;"",M186&lt;&gt;"",O186&lt;&gt;"",P186&lt;&gt;"",R186&lt;&gt;""),"COMPLETE","MISSING FIELDS"))</f>
        <v/>
      </c>
    </row>
    <row r="187" ht="15" customHeight="1" s="15">
      <c r="A187" s="27" t="n"/>
      <c r="B187" s="27" t="n"/>
      <c r="C187" s="27" t="n"/>
      <c r="D187" s="27" t="n"/>
      <c r="E187" s="27" t="n"/>
      <c r="F187" s="27" t="n"/>
      <c r="G187" s="27" t="n"/>
      <c r="H187" s="27" t="n"/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27" t="n"/>
      <c r="R187" s="27" t="n"/>
      <c r="S187" s="27" t="n"/>
      <c r="T187" s="27" t="n"/>
      <c r="U187" s="28">
        <f>IF(A187="","",IF(COUNTIF($B$5:$B$304,B187)&gt;1,"DUPLICATE","UNIQUE"))</f>
        <v/>
      </c>
      <c r="V187" s="28">
        <f>IF(A187="","",IF(AND(B187&lt;&gt;"",C187&lt;&gt;"",D187&lt;&gt;"",E187&lt;&gt;"",F187&lt;&gt;"",G187&lt;&gt;"",H187&lt;&gt;"",J187&lt;&gt;"",K187&lt;&gt;"",L187&lt;&gt;"",M187&lt;&gt;"",O187&lt;&gt;"",P187&lt;&gt;"",R187&lt;&gt;""),"COMPLETE","MISSING FIELDS"))</f>
        <v/>
      </c>
    </row>
    <row r="188" ht="15" customHeight="1" s="15">
      <c r="A188" s="27" t="n"/>
      <c r="B188" s="27" t="n"/>
      <c r="C188" s="27" t="n"/>
      <c r="D188" s="27" t="n"/>
      <c r="E188" s="27" t="n"/>
      <c r="F188" s="27" t="n"/>
      <c r="G188" s="27" t="n"/>
      <c r="H188" s="27" t="n"/>
      <c r="I188" s="27" t="n"/>
      <c r="J188" s="27" t="n"/>
      <c r="K188" s="27" t="n"/>
      <c r="L188" s="27" t="n"/>
      <c r="M188" s="27" t="n"/>
      <c r="N188" s="27" t="n"/>
      <c r="O188" s="27" t="n"/>
      <c r="P188" s="27" t="n"/>
      <c r="Q188" s="27" t="n"/>
      <c r="R188" s="27" t="n"/>
      <c r="S188" s="27" t="n"/>
      <c r="T188" s="27" t="n"/>
      <c r="U188" s="28">
        <f>IF(A188="","",IF(COUNTIF($B$5:$B$304,B188)&gt;1,"DUPLICATE","UNIQUE"))</f>
        <v/>
      </c>
      <c r="V188" s="28">
        <f>IF(A188="","",IF(AND(B188&lt;&gt;"",C188&lt;&gt;"",D188&lt;&gt;"",E188&lt;&gt;"",F188&lt;&gt;"",G188&lt;&gt;"",H188&lt;&gt;"",J188&lt;&gt;"",K188&lt;&gt;"",L188&lt;&gt;"",M188&lt;&gt;"",O188&lt;&gt;"",P188&lt;&gt;"",R188&lt;&gt;""),"COMPLETE","MISSING FIELDS"))</f>
        <v/>
      </c>
    </row>
    <row r="189" ht="15" customHeight="1" s="15">
      <c r="A189" s="27" t="n"/>
      <c r="B189" s="27" t="n"/>
      <c r="C189" s="27" t="n"/>
      <c r="D189" s="27" t="n"/>
      <c r="E189" s="27" t="n"/>
      <c r="F189" s="27" t="n"/>
      <c r="G189" s="27" t="n"/>
      <c r="H189" s="27" t="n"/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27" t="n"/>
      <c r="R189" s="27" t="n"/>
      <c r="S189" s="27" t="n"/>
      <c r="T189" s="27" t="n"/>
      <c r="U189" s="28">
        <f>IF(A189="","",IF(COUNTIF($B$5:$B$304,B189)&gt;1,"DUPLICATE","UNIQUE"))</f>
        <v/>
      </c>
      <c r="V189" s="28">
        <f>IF(A189="","",IF(AND(B189&lt;&gt;"",C189&lt;&gt;"",D189&lt;&gt;"",E189&lt;&gt;"",F189&lt;&gt;"",G189&lt;&gt;"",H189&lt;&gt;"",J189&lt;&gt;"",K189&lt;&gt;"",L189&lt;&gt;"",M189&lt;&gt;"",O189&lt;&gt;"",P189&lt;&gt;"",R189&lt;&gt;""),"COMPLETE","MISSING FIELDS"))</f>
        <v/>
      </c>
    </row>
    <row r="190" ht="15" customHeight="1" s="15">
      <c r="A190" s="27" t="n"/>
      <c r="B190" s="27" t="n"/>
      <c r="C190" s="27" t="n"/>
      <c r="D190" s="27" t="n"/>
      <c r="E190" s="27" t="n"/>
      <c r="F190" s="27" t="n"/>
      <c r="G190" s="27" t="n"/>
      <c r="H190" s="27" t="n"/>
      <c r="I190" s="27" t="n"/>
      <c r="J190" s="27" t="n"/>
      <c r="K190" s="27" t="n"/>
      <c r="L190" s="27" t="n"/>
      <c r="M190" s="27" t="n"/>
      <c r="N190" s="27" t="n"/>
      <c r="O190" s="27" t="n"/>
      <c r="P190" s="27" t="n"/>
      <c r="Q190" s="27" t="n"/>
      <c r="R190" s="27" t="n"/>
      <c r="S190" s="27" t="n"/>
      <c r="T190" s="27" t="n"/>
      <c r="U190" s="28">
        <f>IF(A190="","",IF(COUNTIF($B$5:$B$304,B190)&gt;1,"DUPLICATE","UNIQUE"))</f>
        <v/>
      </c>
      <c r="V190" s="28">
        <f>IF(A190="","",IF(AND(B190&lt;&gt;"",C190&lt;&gt;"",D190&lt;&gt;"",E190&lt;&gt;"",F190&lt;&gt;"",G190&lt;&gt;"",H190&lt;&gt;"",J190&lt;&gt;"",K190&lt;&gt;"",L190&lt;&gt;"",M190&lt;&gt;"",O190&lt;&gt;"",P190&lt;&gt;"",R190&lt;&gt;""),"COMPLETE","MISSING FIELDS"))</f>
        <v/>
      </c>
    </row>
    <row r="191" ht="15" customHeight="1" s="15">
      <c r="A191" s="27" t="n"/>
      <c r="B191" s="27" t="n"/>
      <c r="C191" s="27" t="n"/>
      <c r="D191" s="27" t="n"/>
      <c r="E191" s="27" t="n"/>
      <c r="F191" s="27" t="n"/>
      <c r="G191" s="27" t="n"/>
      <c r="H191" s="27" t="n"/>
      <c r="I191" s="27" t="n"/>
      <c r="J191" s="27" t="n"/>
      <c r="K191" s="27" t="n"/>
      <c r="L191" s="27" t="n"/>
      <c r="M191" s="27" t="n"/>
      <c r="N191" s="27" t="n"/>
      <c r="O191" s="27" t="n"/>
      <c r="P191" s="27" t="n"/>
      <c r="Q191" s="27" t="n"/>
      <c r="R191" s="27" t="n"/>
      <c r="S191" s="27" t="n"/>
      <c r="T191" s="27" t="n"/>
      <c r="U191" s="28">
        <f>IF(A191="","",IF(COUNTIF($B$5:$B$304,B191)&gt;1,"DUPLICATE","UNIQUE"))</f>
        <v/>
      </c>
      <c r="V191" s="28">
        <f>IF(A191="","",IF(AND(B191&lt;&gt;"",C191&lt;&gt;"",D191&lt;&gt;"",E191&lt;&gt;"",F191&lt;&gt;"",G191&lt;&gt;"",H191&lt;&gt;"",J191&lt;&gt;"",K191&lt;&gt;"",L191&lt;&gt;"",M191&lt;&gt;"",O191&lt;&gt;"",P191&lt;&gt;"",R191&lt;&gt;""),"COMPLETE","MISSING FIELDS"))</f>
        <v/>
      </c>
    </row>
    <row r="192" ht="15" customHeight="1" s="15">
      <c r="A192" s="27" t="n"/>
      <c r="B192" s="27" t="n"/>
      <c r="C192" s="27" t="n"/>
      <c r="D192" s="27" t="n"/>
      <c r="E192" s="27" t="n"/>
      <c r="F192" s="27" t="n"/>
      <c r="G192" s="27" t="n"/>
      <c r="H192" s="27" t="n"/>
      <c r="I192" s="27" t="n"/>
      <c r="J192" s="27" t="n"/>
      <c r="K192" s="27" t="n"/>
      <c r="L192" s="27" t="n"/>
      <c r="M192" s="27" t="n"/>
      <c r="N192" s="27" t="n"/>
      <c r="O192" s="27" t="n"/>
      <c r="P192" s="27" t="n"/>
      <c r="Q192" s="27" t="n"/>
      <c r="R192" s="27" t="n"/>
      <c r="S192" s="27" t="n"/>
      <c r="T192" s="27" t="n"/>
      <c r="U192" s="28">
        <f>IF(A192="","",IF(COUNTIF($B$5:$B$304,B192)&gt;1,"DUPLICATE","UNIQUE"))</f>
        <v/>
      </c>
      <c r="V192" s="28">
        <f>IF(A192="","",IF(AND(B192&lt;&gt;"",C192&lt;&gt;"",D192&lt;&gt;"",E192&lt;&gt;"",F192&lt;&gt;"",G192&lt;&gt;"",H192&lt;&gt;"",J192&lt;&gt;"",K192&lt;&gt;"",L192&lt;&gt;"",M192&lt;&gt;"",O192&lt;&gt;"",P192&lt;&gt;"",R192&lt;&gt;""),"COMPLETE","MISSING FIELDS"))</f>
        <v/>
      </c>
    </row>
    <row r="193" ht="15" customHeight="1" s="15">
      <c r="A193" s="27" t="n"/>
      <c r="B193" s="27" t="n"/>
      <c r="C193" s="27" t="n"/>
      <c r="D193" s="27" t="n"/>
      <c r="E193" s="27" t="n"/>
      <c r="F193" s="27" t="n"/>
      <c r="G193" s="27" t="n"/>
      <c r="H193" s="27" t="n"/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  <c r="R193" s="27" t="n"/>
      <c r="S193" s="27" t="n"/>
      <c r="T193" s="27" t="n"/>
      <c r="U193" s="28">
        <f>IF(A193="","",IF(COUNTIF($B$5:$B$304,B193)&gt;1,"DUPLICATE","UNIQUE"))</f>
        <v/>
      </c>
      <c r="V193" s="28">
        <f>IF(A193="","",IF(AND(B193&lt;&gt;"",C193&lt;&gt;"",D193&lt;&gt;"",E193&lt;&gt;"",F193&lt;&gt;"",G193&lt;&gt;"",H193&lt;&gt;"",J193&lt;&gt;"",K193&lt;&gt;"",L193&lt;&gt;"",M193&lt;&gt;"",O193&lt;&gt;"",P193&lt;&gt;"",R193&lt;&gt;""),"COMPLETE","MISSING FIELDS"))</f>
        <v/>
      </c>
    </row>
    <row r="194" ht="15" customHeight="1" s="15">
      <c r="A194" s="27" t="n"/>
      <c r="B194" s="27" t="n"/>
      <c r="C194" s="27" t="n"/>
      <c r="D194" s="27" t="n"/>
      <c r="E194" s="27" t="n"/>
      <c r="F194" s="27" t="n"/>
      <c r="G194" s="27" t="n"/>
      <c r="H194" s="27" t="n"/>
      <c r="I194" s="27" t="n"/>
      <c r="J194" s="27" t="n"/>
      <c r="K194" s="27" t="n"/>
      <c r="L194" s="27" t="n"/>
      <c r="M194" s="27" t="n"/>
      <c r="N194" s="27" t="n"/>
      <c r="O194" s="27" t="n"/>
      <c r="P194" s="27" t="n"/>
      <c r="Q194" s="27" t="n"/>
      <c r="R194" s="27" t="n"/>
      <c r="S194" s="27" t="n"/>
      <c r="T194" s="27" t="n"/>
      <c r="U194" s="28">
        <f>IF(A194="","",IF(COUNTIF($B$5:$B$304,B194)&gt;1,"DUPLICATE","UNIQUE"))</f>
        <v/>
      </c>
      <c r="V194" s="28">
        <f>IF(A194="","",IF(AND(B194&lt;&gt;"",C194&lt;&gt;"",D194&lt;&gt;"",E194&lt;&gt;"",F194&lt;&gt;"",G194&lt;&gt;"",H194&lt;&gt;"",J194&lt;&gt;"",K194&lt;&gt;"",L194&lt;&gt;"",M194&lt;&gt;"",O194&lt;&gt;"",P194&lt;&gt;"",R194&lt;&gt;""),"COMPLETE","MISSING FIELDS"))</f>
        <v/>
      </c>
    </row>
    <row r="195" ht="15" customHeight="1" s="15">
      <c r="A195" s="27" t="n"/>
      <c r="B195" s="27" t="n"/>
      <c r="C195" s="27" t="n"/>
      <c r="D195" s="27" t="n"/>
      <c r="E195" s="27" t="n"/>
      <c r="F195" s="27" t="n"/>
      <c r="G195" s="27" t="n"/>
      <c r="H195" s="27" t="n"/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n"/>
      <c r="R195" s="27" t="n"/>
      <c r="S195" s="27" t="n"/>
      <c r="T195" s="27" t="n"/>
      <c r="U195" s="28">
        <f>IF(A195="","",IF(COUNTIF($B$5:$B$304,B195)&gt;1,"DUPLICATE","UNIQUE"))</f>
        <v/>
      </c>
      <c r="V195" s="28">
        <f>IF(A195="","",IF(AND(B195&lt;&gt;"",C195&lt;&gt;"",D195&lt;&gt;"",E195&lt;&gt;"",F195&lt;&gt;"",G195&lt;&gt;"",H195&lt;&gt;"",J195&lt;&gt;"",K195&lt;&gt;"",L195&lt;&gt;"",M195&lt;&gt;"",O195&lt;&gt;"",P195&lt;&gt;"",R195&lt;&gt;""),"COMPLETE","MISSING FIELDS"))</f>
        <v/>
      </c>
    </row>
    <row r="196" ht="15" customHeight="1" s="15">
      <c r="A196" s="27" t="n"/>
      <c r="B196" s="27" t="n"/>
      <c r="C196" s="27" t="n"/>
      <c r="D196" s="27" t="n"/>
      <c r="E196" s="27" t="n"/>
      <c r="F196" s="27" t="n"/>
      <c r="G196" s="27" t="n"/>
      <c r="H196" s="27" t="n"/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n"/>
      <c r="R196" s="27" t="n"/>
      <c r="S196" s="27" t="n"/>
      <c r="T196" s="27" t="n"/>
      <c r="U196" s="28">
        <f>IF(A196="","",IF(COUNTIF($B$5:$B$304,B196)&gt;1,"DUPLICATE","UNIQUE"))</f>
        <v/>
      </c>
      <c r="V196" s="28">
        <f>IF(A196="","",IF(AND(B196&lt;&gt;"",C196&lt;&gt;"",D196&lt;&gt;"",E196&lt;&gt;"",F196&lt;&gt;"",G196&lt;&gt;"",H196&lt;&gt;"",J196&lt;&gt;"",K196&lt;&gt;"",L196&lt;&gt;"",M196&lt;&gt;"",O196&lt;&gt;"",P196&lt;&gt;"",R196&lt;&gt;""),"COMPLETE","MISSING FIELDS"))</f>
        <v/>
      </c>
    </row>
    <row r="197" ht="15" customHeight="1" s="15">
      <c r="A197" s="27" t="n"/>
      <c r="B197" s="27" t="n"/>
      <c r="C197" s="27" t="n"/>
      <c r="D197" s="27" t="n"/>
      <c r="E197" s="27" t="n"/>
      <c r="F197" s="27" t="n"/>
      <c r="G197" s="27" t="n"/>
      <c r="H197" s="27" t="n"/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  <c r="R197" s="27" t="n"/>
      <c r="S197" s="27" t="n"/>
      <c r="T197" s="27" t="n"/>
      <c r="U197" s="28">
        <f>IF(A197="","",IF(COUNTIF($B$5:$B$304,B197)&gt;1,"DUPLICATE","UNIQUE"))</f>
        <v/>
      </c>
      <c r="V197" s="28">
        <f>IF(A197="","",IF(AND(B197&lt;&gt;"",C197&lt;&gt;"",D197&lt;&gt;"",E197&lt;&gt;"",F197&lt;&gt;"",G197&lt;&gt;"",H197&lt;&gt;"",J197&lt;&gt;"",K197&lt;&gt;"",L197&lt;&gt;"",M197&lt;&gt;"",O197&lt;&gt;"",P197&lt;&gt;"",R197&lt;&gt;""),"COMPLETE","MISSING FIELDS"))</f>
        <v/>
      </c>
    </row>
    <row r="198" ht="15" customHeight="1" s="15">
      <c r="A198" s="27" t="n"/>
      <c r="B198" s="27" t="n"/>
      <c r="C198" s="27" t="n"/>
      <c r="D198" s="27" t="n"/>
      <c r="E198" s="27" t="n"/>
      <c r="F198" s="27" t="n"/>
      <c r="G198" s="27" t="n"/>
      <c r="H198" s="27" t="n"/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n"/>
      <c r="R198" s="27" t="n"/>
      <c r="S198" s="27" t="n"/>
      <c r="T198" s="27" t="n"/>
      <c r="U198" s="28">
        <f>IF(A198="","",IF(COUNTIF($B$5:$B$304,B198)&gt;1,"DUPLICATE","UNIQUE"))</f>
        <v/>
      </c>
      <c r="V198" s="28">
        <f>IF(A198="","",IF(AND(B198&lt;&gt;"",C198&lt;&gt;"",D198&lt;&gt;"",E198&lt;&gt;"",F198&lt;&gt;"",G198&lt;&gt;"",H198&lt;&gt;"",J198&lt;&gt;"",K198&lt;&gt;"",L198&lt;&gt;"",M198&lt;&gt;"",O198&lt;&gt;"",P198&lt;&gt;"",R198&lt;&gt;""),"COMPLETE","MISSING FIELDS"))</f>
        <v/>
      </c>
    </row>
    <row r="199" ht="15" customHeight="1" s="15">
      <c r="A199" s="27" t="n"/>
      <c r="B199" s="27" t="n"/>
      <c r="C199" s="27" t="n"/>
      <c r="D199" s="27" t="n"/>
      <c r="E199" s="27" t="n"/>
      <c r="F199" s="27" t="n"/>
      <c r="G199" s="27" t="n"/>
      <c r="H199" s="27" t="n"/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n"/>
      <c r="R199" s="27" t="n"/>
      <c r="S199" s="27" t="n"/>
      <c r="T199" s="27" t="n"/>
      <c r="U199" s="28">
        <f>IF(A199="","",IF(COUNTIF($B$5:$B$304,B199)&gt;1,"DUPLICATE","UNIQUE"))</f>
        <v/>
      </c>
      <c r="V199" s="28">
        <f>IF(A199="","",IF(AND(B199&lt;&gt;"",C199&lt;&gt;"",D199&lt;&gt;"",E199&lt;&gt;"",F199&lt;&gt;"",G199&lt;&gt;"",H199&lt;&gt;"",J199&lt;&gt;"",K199&lt;&gt;"",L199&lt;&gt;"",M199&lt;&gt;"",O199&lt;&gt;"",P199&lt;&gt;"",R199&lt;&gt;""),"COMPLETE","MISSING FIELDS"))</f>
        <v/>
      </c>
    </row>
    <row r="200" ht="15" customHeight="1" s="15">
      <c r="A200" s="27" t="n"/>
      <c r="B200" s="27" t="n"/>
      <c r="C200" s="27" t="n"/>
      <c r="D200" s="27" t="n"/>
      <c r="E200" s="27" t="n"/>
      <c r="F200" s="27" t="n"/>
      <c r="G200" s="27" t="n"/>
      <c r="H200" s="27" t="n"/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n"/>
      <c r="R200" s="27" t="n"/>
      <c r="S200" s="27" t="n"/>
      <c r="T200" s="27" t="n"/>
      <c r="U200" s="28">
        <f>IF(A200="","",IF(COUNTIF($B$5:$B$304,B200)&gt;1,"DUPLICATE","UNIQUE"))</f>
        <v/>
      </c>
      <c r="V200" s="28">
        <f>IF(A200="","",IF(AND(B200&lt;&gt;"",C200&lt;&gt;"",D200&lt;&gt;"",E200&lt;&gt;"",F200&lt;&gt;"",G200&lt;&gt;"",H200&lt;&gt;"",J200&lt;&gt;"",K200&lt;&gt;"",L200&lt;&gt;"",M200&lt;&gt;"",O200&lt;&gt;"",P200&lt;&gt;"",R200&lt;&gt;""),"COMPLETE","MISSING FIELDS"))</f>
        <v/>
      </c>
    </row>
    <row r="201" ht="15" customHeight="1" s="15">
      <c r="A201" s="27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  <c r="T201" s="27" t="n"/>
      <c r="U201" s="28">
        <f>IF(A201="","",IF(COUNTIF($B$5:$B$304,B201)&gt;1,"DUPLICATE","UNIQUE"))</f>
        <v/>
      </c>
      <c r="V201" s="28">
        <f>IF(A201="","",IF(AND(B201&lt;&gt;"",C201&lt;&gt;"",D201&lt;&gt;"",E201&lt;&gt;"",F201&lt;&gt;"",G201&lt;&gt;"",H201&lt;&gt;"",J201&lt;&gt;"",K201&lt;&gt;"",L201&lt;&gt;"",M201&lt;&gt;"",O201&lt;&gt;"",P201&lt;&gt;"",R201&lt;&gt;""),"COMPLETE","MISSING FIELDS"))</f>
        <v/>
      </c>
    </row>
    <row r="202" ht="15" customHeight="1" s="15">
      <c r="A202" s="27" t="n"/>
      <c r="B202" s="27" t="n"/>
      <c r="C202" s="27" t="n"/>
      <c r="D202" s="27" t="n"/>
      <c r="E202" s="27" t="n"/>
      <c r="F202" s="27" t="n"/>
      <c r="G202" s="27" t="n"/>
      <c r="H202" s="27" t="n"/>
      <c r="I202" s="27" t="n"/>
      <c r="J202" s="27" t="n"/>
      <c r="K202" s="27" t="n"/>
      <c r="L202" s="27" t="n"/>
      <c r="M202" s="27" t="n"/>
      <c r="N202" s="27" t="n"/>
      <c r="O202" s="27" t="n"/>
      <c r="P202" s="27" t="n"/>
      <c r="Q202" s="27" t="n"/>
      <c r="R202" s="27" t="n"/>
      <c r="S202" s="27" t="n"/>
      <c r="T202" s="27" t="n"/>
      <c r="U202" s="28">
        <f>IF(A202="","",IF(COUNTIF($B$5:$B$304,B202)&gt;1,"DUPLICATE","UNIQUE"))</f>
        <v/>
      </c>
      <c r="V202" s="28">
        <f>IF(A202="","",IF(AND(B202&lt;&gt;"",C202&lt;&gt;"",D202&lt;&gt;"",E202&lt;&gt;"",F202&lt;&gt;"",G202&lt;&gt;"",H202&lt;&gt;"",J202&lt;&gt;"",K202&lt;&gt;"",L202&lt;&gt;"",M202&lt;&gt;"",O202&lt;&gt;"",P202&lt;&gt;"",R202&lt;&gt;""),"COMPLETE","MISSING FIELDS"))</f>
        <v/>
      </c>
    </row>
    <row r="203" ht="15" customHeight="1" s="15">
      <c r="A203" s="27" t="n"/>
      <c r="B203" s="27" t="n"/>
      <c r="C203" s="27" t="n"/>
      <c r="D203" s="27" t="n"/>
      <c r="E203" s="27" t="n"/>
      <c r="F203" s="27" t="n"/>
      <c r="G203" s="27" t="n"/>
      <c r="H203" s="27" t="n"/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27" t="n"/>
      <c r="S203" s="27" t="n"/>
      <c r="T203" s="27" t="n"/>
      <c r="U203" s="28">
        <f>IF(A203="","",IF(COUNTIF($B$5:$B$304,B203)&gt;1,"DUPLICATE","UNIQUE"))</f>
        <v/>
      </c>
      <c r="V203" s="28">
        <f>IF(A203="","",IF(AND(B203&lt;&gt;"",C203&lt;&gt;"",D203&lt;&gt;"",E203&lt;&gt;"",F203&lt;&gt;"",G203&lt;&gt;"",H203&lt;&gt;"",J203&lt;&gt;"",K203&lt;&gt;"",L203&lt;&gt;"",M203&lt;&gt;"",O203&lt;&gt;"",P203&lt;&gt;"",R203&lt;&gt;""),"COMPLETE","MISSING FIELDS"))</f>
        <v/>
      </c>
    </row>
    <row r="204" ht="15" customHeight="1" s="15">
      <c r="A204" s="27" t="n"/>
      <c r="B204" s="27" t="n"/>
      <c r="C204" s="27" t="n"/>
      <c r="D204" s="27" t="n"/>
      <c r="E204" s="27" t="n"/>
      <c r="F204" s="27" t="n"/>
      <c r="G204" s="27" t="n"/>
      <c r="H204" s="27" t="n"/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  <c r="R204" s="27" t="n"/>
      <c r="S204" s="27" t="n"/>
      <c r="T204" s="27" t="n"/>
      <c r="U204" s="28">
        <f>IF(A204="","",IF(COUNTIF($B$5:$B$304,B204)&gt;1,"DUPLICATE","UNIQUE"))</f>
        <v/>
      </c>
      <c r="V204" s="28">
        <f>IF(A204="","",IF(AND(B204&lt;&gt;"",C204&lt;&gt;"",D204&lt;&gt;"",E204&lt;&gt;"",F204&lt;&gt;"",G204&lt;&gt;"",H204&lt;&gt;"",J204&lt;&gt;"",K204&lt;&gt;"",L204&lt;&gt;"",M204&lt;&gt;"",O204&lt;&gt;"",P204&lt;&gt;"",R204&lt;&gt;""),"COMPLETE","MISSING FIELDS"))</f>
        <v/>
      </c>
    </row>
    <row r="205" ht="15" customHeight="1" s="15">
      <c r="A205" s="27" t="n"/>
      <c r="B205" s="27" t="n"/>
      <c r="C205" s="27" t="n"/>
      <c r="D205" s="27" t="n"/>
      <c r="E205" s="27" t="n"/>
      <c r="F205" s="27" t="n"/>
      <c r="G205" s="27" t="n"/>
      <c r="H205" s="27" t="n"/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  <c r="R205" s="27" t="n"/>
      <c r="S205" s="27" t="n"/>
      <c r="T205" s="27" t="n"/>
      <c r="U205" s="28">
        <f>IF(A205="","",IF(COUNTIF($B$5:$B$304,B205)&gt;1,"DUPLICATE","UNIQUE"))</f>
        <v/>
      </c>
      <c r="V205" s="28">
        <f>IF(A205="","",IF(AND(B205&lt;&gt;"",C205&lt;&gt;"",D205&lt;&gt;"",E205&lt;&gt;"",F205&lt;&gt;"",G205&lt;&gt;"",H205&lt;&gt;"",J205&lt;&gt;"",K205&lt;&gt;"",L205&lt;&gt;"",M205&lt;&gt;"",O205&lt;&gt;"",P205&lt;&gt;"",R205&lt;&gt;""),"COMPLETE","MISSING FIELDS"))</f>
        <v/>
      </c>
    </row>
    <row r="206" ht="15" customHeight="1" s="15">
      <c r="A206" s="27" t="n"/>
      <c r="B206" s="27" t="n"/>
      <c r="C206" s="27" t="n"/>
      <c r="D206" s="27" t="n"/>
      <c r="E206" s="27" t="n"/>
      <c r="F206" s="27" t="n"/>
      <c r="G206" s="27" t="n"/>
      <c r="H206" s="27" t="n"/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  <c r="R206" s="27" t="n"/>
      <c r="S206" s="27" t="n"/>
      <c r="T206" s="27" t="n"/>
      <c r="U206" s="28">
        <f>IF(A206="","",IF(COUNTIF($B$5:$B$304,B206)&gt;1,"DUPLICATE","UNIQUE"))</f>
        <v/>
      </c>
      <c r="V206" s="28">
        <f>IF(A206="","",IF(AND(B206&lt;&gt;"",C206&lt;&gt;"",D206&lt;&gt;"",E206&lt;&gt;"",F206&lt;&gt;"",G206&lt;&gt;"",H206&lt;&gt;"",J206&lt;&gt;"",K206&lt;&gt;"",L206&lt;&gt;"",M206&lt;&gt;"",O206&lt;&gt;"",P206&lt;&gt;"",R206&lt;&gt;""),"COMPLETE","MISSING FIELDS"))</f>
        <v/>
      </c>
    </row>
    <row r="207" ht="15" customHeight="1" s="15">
      <c r="A207" s="27" t="n"/>
      <c r="B207" s="27" t="n"/>
      <c r="C207" s="27" t="n"/>
      <c r="D207" s="27" t="n"/>
      <c r="E207" s="27" t="n"/>
      <c r="F207" s="27" t="n"/>
      <c r="G207" s="27" t="n"/>
      <c r="H207" s="27" t="n"/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27" t="n"/>
      <c r="S207" s="27" t="n"/>
      <c r="T207" s="27" t="n"/>
      <c r="U207" s="28">
        <f>IF(A207="","",IF(COUNTIF($B$5:$B$304,B207)&gt;1,"DUPLICATE","UNIQUE"))</f>
        <v/>
      </c>
      <c r="V207" s="28">
        <f>IF(A207="","",IF(AND(B207&lt;&gt;"",C207&lt;&gt;"",D207&lt;&gt;"",E207&lt;&gt;"",F207&lt;&gt;"",G207&lt;&gt;"",H207&lt;&gt;"",J207&lt;&gt;"",K207&lt;&gt;"",L207&lt;&gt;"",M207&lt;&gt;"",O207&lt;&gt;"",P207&lt;&gt;"",R207&lt;&gt;""),"COMPLETE","MISSING FIELDS"))</f>
        <v/>
      </c>
    </row>
    <row r="208" ht="15" customHeight="1" s="15">
      <c r="A208" s="27" t="n"/>
      <c r="B208" s="27" t="n"/>
      <c r="C208" s="27" t="n"/>
      <c r="D208" s="27" t="n"/>
      <c r="E208" s="27" t="n"/>
      <c r="F208" s="27" t="n"/>
      <c r="G208" s="27" t="n"/>
      <c r="H208" s="27" t="n"/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  <c r="R208" s="27" t="n"/>
      <c r="S208" s="27" t="n"/>
      <c r="T208" s="27" t="n"/>
      <c r="U208" s="28">
        <f>IF(A208="","",IF(COUNTIF($B$5:$B$304,B208)&gt;1,"DUPLICATE","UNIQUE"))</f>
        <v/>
      </c>
      <c r="V208" s="28">
        <f>IF(A208="","",IF(AND(B208&lt;&gt;"",C208&lt;&gt;"",D208&lt;&gt;"",E208&lt;&gt;"",F208&lt;&gt;"",G208&lt;&gt;"",H208&lt;&gt;"",J208&lt;&gt;"",K208&lt;&gt;"",L208&lt;&gt;"",M208&lt;&gt;"",O208&lt;&gt;"",P208&lt;&gt;"",R208&lt;&gt;""),"COMPLETE","MISSING FIELDS"))</f>
        <v/>
      </c>
    </row>
    <row r="209" ht="15" customHeight="1" s="15">
      <c r="A209" s="27" t="n"/>
      <c r="B209" s="27" t="n"/>
      <c r="C209" s="27" t="n"/>
      <c r="D209" s="27" t="n"/>
      <c r="E209" s="27" t="n"/>
      <c r="F209" s="27" t="n"/>
      <c r="G209" s="27" t="n"/>
      <c r="H209" s="27" t="n"/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  <c r="R209" s="27" t="n"/>
      <c r="S209" s="27" t="n"/>
      <c r="T209" s="27" t="n"/>
      <c r="U209" s="28">
        <f>IF(A209="","",IF(COUNTIF($B$5:$B$304,B209)&gt;1,"DUPLICATE","UNIQUE"))</f>
        <v/>
      </c>
      <c r="V209" s="28">
        <f>IF(A209="","",IF(AND(B209&lt;&gt;"",C209&lt;&gt;"",D209&lt;&gt;"",E209&lt;&gt;"",F209&lt;&gt;"",G209&lt;&gt;"",H209&lt;&gt;"",J209&lt;&gt;"",K209&lt;&gt;"",L209&lt;&gt;"",M209&lt;&gt;"",O209&lt;&gt;"",P209&lt;&gt;"",R209&lt;&gt;""),"COMPLETE","MISSING FIELDS"))</f>
        <v/>
      </c>
    </row>
    <row r="210" ht="15" customHeight="1" s="15">
      <c r="A210" s="27" t="n"/>
      <c r="B210" s="27" t="n"/>
      <c r="C210" s="27" t="n"/>
      <c r="D210" s="27" t="n"/>
      <c r="E210" s="27" t="n"/>
      <c r="F210" s="27" t="n"/>
      <c r="G210" s="27" t="n"/>
      <c r="H210" s="27" t="n"/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  <c r="R210" s="27" t="n"/>
      <c r="S210" s="27" t="n"/>
      <c r="T210" s="27" t="n"/>
      <c r="U210" s="28">
        <f>IF(A210="","",IF(COUNTIF($B$5:$B$304,B210)&gt;1,"DUPLICATE","UNIQUE"))</f>
        <v/>
      </c>
      <c r="V210" s="28">
        <f>IF(A210="","",IF(AND(B210&lt;&gt;"",C210&lt;&gt;"",D210&lt;&gt;"",E210&lt;&gt;"",F210&lt;&gt;"",G210&lt;&gt;"",H210&lt;&gt;"",J210&lt;&gt;"",K210&lt;&gt;"",L210&lt;&gt;"",M210&lt;&gt;"",O210&lt;&gt;"",P210&lt;&gt;"",R210&lt;&gt;""),"COMPLETE","MISSING FIELDS"))</f>
        <v/>
      </c>
    </row>
    <row r="211" ht="15" customHeight="1" s="15">
      <c r="A211" s="27" t="n"/>
      <c r="B211" s="27" t="n"/>
      <c r="C211" s="27" t="n"/>
      <c r="D211" s="27" t="n"/>
      <c r="E211" s="27" t="n"/>
      <c r="F211" s="27" t="n"/>
      <c r="G211" s="27" t="n"/>
      <c r="H211" s="27" t="n"/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  <c r="R211" s="27" t="n"/>
      <c r="S211" s="27" t="n"/>
      <c r="T211" s="27" t="n"/>
      <c r="U211" s="28">
        <f>IF(A211="","",IF(COUNTIF($B$5:$B$304,B211)&gt;1,"DUPLICATE","UNIQUE"))</f>
        <v/>
      </c>
      <c r="V211" s="28">
        <f>IF(A211="","",IF(AND(B211&lt;&gt;"",C211&lt;&gt;"",D211&lt;&gt;"",E211&lt;&gt;"",F211&lt;&gt;"",G211&lt;&gt;"",H211&lt;&gt;"",J211&lt;&gt;"",K211&lt;&gt;"",L211&lt;&gt;"",M211&lt;&gt;"",O211&lt;&gt;"",P211&lt;&gt;"",R211&lt;&gt;""),"COMPLETE","MISSING FIELDS"))</f>
        <v/>
      </c>
    </row>
    <row r="212" ht="15" customHeight="1" s="15">
      <c r="A212" s="27" t="n"/>
      <c r="B212" s="27" t="n"/>
      <c r="C212" s="27" t="n"/>
      <c r="D212" s="27" t="n"/>
      <c r="E212" s="27" t="n"/>
      <c r="F212" s="27" t="n"/>
      <c r="G212" s="27" t="n"/>
      <c r="H212" s="27" t="n"/>
      <c r="I212" s="27" t="n"/>
      <c r="J212" s="27" t="n"/>
      <c r="K212" s="27" t="n"/>
      <c r="L212" s="27" t="n"/>
      <c r="M212" s="27" t="n"/>
      <c r="N212" s="27" t="n"/>
      <c r="O212" s="27" t="n"/>
      <c r="P212" s="27" t="n"/>
      <c r="Q212" s="27" t="n"/>
      <c r="R212" s="27" t="n"/>
      <c r="S212" s="27" t="n"/>
      <c r="T212" s="27" t="n"/>
      <c r="U212" s="28">
        <f>IF(A212="","",IF(COUNTIF($B$5:$B$304,B212)&gt;1,"DUPLICATE","UNIQUE"))</f>
        <v/>
      </c>
      <c r="V212" s="28">
        <f>IF(A212="","",IF(AND(B212&lt;&gt;"",C212&lt;&gt;"",D212&lt;&gt;"",E212&lt;&gt;"",F212&lt;&gt;"",G212&lt;&gt;"",H212&lt;&gt;"",J212&lt;&gt;"",K212&lt;&gt;"",L212&lt;&gt;"",M212&lt;&gt;"",O212&lt;&gt;"",P212&lt;&gt;"",R212&lt;&gt;""),"COMPLETE","MISSING FIELDS"))</f>
        <v/>
      </c>
    </row>
    <row r="213" ht="15" customHeight="1" s="15">
      <c r="A213" s="27" t="n"/>
      <c r="B213" s="27" t="n"/>
      <c r="C213" s="27" t="n"/>
      <c r="D213" s="27" t="n"/>
      <c r="E213" s="27" t="n"/>
      <c r="F213" s="27" t="n"/>
      <c r="G213" s="27" t="n"/>
      <c r="H213" s="27" t="n"/>
      <c r="I213" s="27" t="n"/>
      <c r="J213" s="27" t="n"/>
      <c r="K213" s="27" t="n"/>
      <c r="L213" s="27" t="n"/>
      <c r="M213" s="27" t="n"/>
      <c r="N213" s="27" t="n"/>
      <c r="O213" s="27" t="n"/>
      <c r="P213" s="27" t="n"/>
      <c r="Q213" s="27" t="n"/>
      <c r="R213" s="27" t="n"/>
      <c r="S213" s="27" t="n"/>
      <c r="T213" s="27" t="n"/>
      <c r="U213" s="28">
        <f>IF(A213="","",IF(COUNTIF($B$5:$B$304,B213)&gt;1,"DUPLICATE","UNIQUE"))</f>
        <v/>
      </c>
      <c r="V213" s="28">
        <f>IF(A213="","",IF(AND(B213&lt;&gt;"",C213&lt;&gt;"",D213&lt;&gt;"",E213&lt;&gt;"",F213&lt;&gt;"",G213&lt;&gt;"",H213&lt;&gt;"",J213&lt;&gt;"",K213&lt;&gt;"",L213&lt;&gt;"",M213&lt;&gt;"",O213&lt;&gt;"",P213&lt;&gt;"",R213&lt;&gt;""),"COMPLETE","MISSING FIELDS"))</f>
        <v/>
      </c>
    </row>
    <row r="214" ht="15" customHeight="1" s="15">
      <c r="A214" s="27" t="n"/>
      <c r="B214" s="27" t="n"/>
      <c r="C214" s="27" t="n"/>
      <c r="D214" s="27" t="n"/>
      <c r="E214" s="27" t="n"/>
      <c r="F214" s="27" t="n"/>
      <c r="G214" s="27" t="n"/>
      <c r="H214" s="27" t="n"/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  <c r="R214" s="27" t="n"/>
      <c r="S214" s="27" t="n"/>
      <c r="T214" s="27" t="n"/>
      <c r="U214" s="28">
        <f>IF(A214="","",IF(COUNTIF($B$5:$B$304,B214)&gt;1,"DUPLICATE","UNIQUE"))</f>
        <v/>
      </c>
      <c r="V214" s="28">
        <f>IF(A214="","",IF(AND(B214&lt;&gt;"",C214&lt;&gt;"",D214&lt;&gt;"",E214&lt;&gt;"",F214&lt;&gt;"",G214&lt;&gt;"",H214&lt;&gt;"",J214&lt;&gt;"",K214&lt;&gt;"",L214&lt;&gt;"",M214&lt;&gt;"",O214&lt;&gt;"",P214&lt;&gt;"",R214&lt;&gt;""),"COMPLETE","MISSING FIELDS"))</f>
        <v/>
      </c>
    </row>
    <row r="215" ht="15" customHeight="1" s="15">
      <c r="A215" s="27" t="n"/>
      <c r="B215" s="27" t="n"/>
      <c r="C215" s="27" t="n"/>
      <c r="D215" s="27" t="n"/>
      <c r="E215" s="27" t="n"/>
      <c r="F215" s="27" t="n"/>
      <c r="G215" s="27" t="n"/>
      <c r="H215" s="27" t="n"/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27" t="n"/>
      <c r="S215" s="27" t="n"/>
      <c r="T215" s="27" t="n"/>
      <c r="U215" s="28">
        <f>IF(A215="","",IF(COUNTIF($B$5:$B$304,B215)&gt;1,"DUPLICATE","UNIQUE"))</f>
        <v/>
      </c>
      <c r="V215" s="28">
        <f>IF(A215="","",IF(AND(B215&lt;&gt;"",C215&lt;&gt;"",D215&lt;&gt;"",E215&lt;&gt;"",F215&lt;&gt;"",G215&lt;&gt;"",H215&lt;&gt;"",J215&lt;&gt;"",K215&lt;&gt;"",L215&lt;&gt;"",M215&lt;&gt;"",O215&lt;&gt;"",P215&lt;&gt;"",R215&lt;&gt;""),"COMPLETE","MISSING FIELDS"))</f>
        <v/>
      </c>
    </row>
    <row r="216" ht="15" customHeight="1" s="15">
      <c r="A216" s="27" t="n"/>
      <c r="B216" s="27" t="n"/>
      <c r="C216" s="27" t="n"/>
      <c r="D216" s="27" t="n"/>
      <c r="E216" s="27" t="n"/>
      <c r="F216" s="27" t="n"/>
      <c r="G216" s="27" t="n"/>
      <c r="H216" s="27" t="n"/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27" t="n"/>
      <c r="S216" s="27" t="n"/>
      <c r="T216" s="27" t="n"/>
      <c r="U216" s="28">
        <f>IF(A216="","",IF(COUNTIF($B$5:$B$304,B216)&gt;1,"DUPLICATE","UNIQUE"))</f>
        <v/>
      </c>
      <c r="V216" s="28">
        <f>IF(A216="","",IF(AND(B216&lt;&gt;"",C216&lt;&gt;"",D216&lt;&gt;"",E216&lt;&gt;"",F216&lt;&gt;"",G216&lt;&gt;"",H216&lt;&gt;"",J216&lt;&gt;"",K216&lt;&gt;"",L216&lt;&gt;"",M216&lt;&gt;"",O216&lt;&gt;"",P216&lt;&gt;"",R216&lt;&gt;""),"COMPLETE","MISSING FIELDS"))</f>
        <v/>
      </c>
    </row>
    <row r="217" ht="15" customHeight="1" s="15">
      <c r="A217" s="27" t="n"/>
      <c r="B217" s="27" t="n"/>
      <c r="C217" s="27" t="n"/>
      <c r="D217" s="27" t="n"/>
      <c r="E217" s="27" t="n"/>
      <c r="F217" s="27" t="n"/>
      <c r="G217" s="27" t="n"/>
      <c r="H217" s="27" t="n"/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27" t="n"/>
      <c r="S217" s="27" t="n"/>
      <c r="T217" s="27" t="n"/>
      <c r="U217" s="28">
        <f>IF(A217="","",IF(COUNTIF($B$5:$B$304,B217)&gt;1,"DUPLICATE","UNIQUE"))</f>
        <v/>
      </c>
      <c r="V217" s="28">
        <f>IF(A217="","",IF(AND(B217&lt;&gt;"",C217&lt;&gt;"",D217&lt;&gt;"",E217&lt;&gt;"",F217&lt;&gt;"",G217&lt;&gt;"",H217&lt;&gt;"",J217&lt;&gt;"",K217&lt;&gt;"",L217&lt;&gt;"",M217&lt;&gt;"",O217&lt;&gt;"",P217&lt;&gt;"",R217&lt;&gt;""),"COMPLETE","MISSING FIELDS"))</f>
        <v/>
      </c>
    </row>
    <row r="218" ht="15" customHeight="1" s="15">
      <c r="A218" s="27" t="n"/>
      <c r="B218" s="27" t="n"/>
      <c r="C218" s="27" t="n"/>
      <c r="D218" s="27" t="n"/>
      <c r="E218" s="27" t="n"/>
      <c r="F218" s="27" t="n"/>
      <c r="G218" s="27" t="n"/>
      <c r="H218" s="27" t="n"/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27" t="n"/>
      <c r="S218" s="27" t="n"/>
      <c r="T218" s="27" t="n"/>
      <c r="U218" s="28">
        <f>IF(A218="","",IF(COUNTIF($B$5:$B$304,B218)&gt;1,"DUPLICATE","UNIQUE"))</f>
        <v/>
      </c>
      <c r="V218" s="28">
        <f>IF(A218="","",IF(AND(B218&lt;&gt;"",C218&lt;&gt;"",D218&lt;&gt;"",E218&lt;&gt;"",F218&lt;&gt;"",G218&lt;&gt;"",H218&lt;&gt;"",J218&lt;&gt;"",K218&lt;&gt;"",L218&lt;&gt;"",M218&lt;&gt;"",O218&lt;&gt;"",P218&lt;&gt;"",R218&lt;&gt;""),"COMPLETE","MISSING FIELDS"))</f>
        <v/>
      </c>
    </row>
    <row r="219" ht="15" customHeight="1" s="15">
      <c r="A219" s="27" t="n"/>
      <c r="B219" s="27" t="n"/>
      <c r="C219" s="27" t="n"/>
      <c r="D219" s="27" t="n"/>
      <c r="E219" s="27" t="n"/>
      <c r="F219" s="27" t="n"/>
      <c r="G219" s="27" t="n"/>
      <c r="H219" s="27" t="n"/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27" t="n"/>
      <c r="S219" s="27" t="n"/>
      <c r="T219" s="27" t="n"/>
      <c r="U219" s="28">
        <f>IF(A219="","",IF(COUNTIF($B$5:$B$304,B219)&gt;1,"DUPLICATE","UNIQUE"))</f>
        <v/>
      </c>
      <c r="V219" s="28">
        <f>IF(A219="","",IF(AND(B219&lt;&gt;"",C219&lt;&gt;"",D219&lt;&gt;"",E219&lt;&gt;"",F219&lt;&gt;"",G219&lt;&gt;"",H219&lt;&gt;"",J219&lt;&gt;"",K219&lt;&gt;"",L219&lt;&gt;"",M219&lt;&gt;"",O219&lt;&gt;"",P219&lt;&gt;"",R219&lt;&gt;""),"COMPLETE","MISSING FIELDS"))</f>
        <v/>
      </c>
    </row>
    <row r="220" ht="15" customHeight="1" s="15">
      <c r="A220" s="27" t="n"/>
      <c r="B220" s="27" t="n"/>
      <c r="C220" s="27" t="n"/>
      <c r="D220" s="27" t="n"/>
      <c r="E220" s="27" t="n"/>
      <c r="F220" s="27" t="n"/>
      <c r="G220" s="27" t="n"/>
      <c r="H220" s="27" t="n"/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27" t="n"/>
      <c r="S220" s="27" t="n"/>
      <c r="T220" s="27" t="n"/>
      <c r="U220" s="28">
        <f>IF(A220="","",IF(COUNTIF($B$5:$B$304,B220)&gt;1,"DUPLICATE","UNIQUE"))</f>
        <v/>
      </c>
      <c r="V220" s="28">
        <f>IF(A220="","",IF(AND(B220&lt;&gt;"",C220&lt;&gt;"",D220&lt;&gt;"",E220&lt;&gt;"",F220&lt;&gt;"",G220&lt;&gt;"",H220&lt;&gt;"",J220&lt;&gt;"",K220&lt;&gt;"",L220&lt;&gt;"",M220&lt;&gt;"",O220&lt;&gt;"",P220&lt;&gt;"",R220&lt;&gt;""),"COMPLETE","MISSING FIELDS"))</f>
        <v/>
      </c>
    </row>
    <row r="221" ht="15" customHeight="1" s="15">
      <c r="A221" s="27" t="n"/>
      <c r="B221" s="27" t="n"/>
      <c r="C221" s="27" t="n"/>
      <c r="D221" s="27" t="n"/>
      <c r="E221" s="27" t="n"/>
      <c r="F221" s="27" t="n"/>
      <c r="G221" s="27" t="n"/>
      <c r="H221" s="27" t="n"/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27" t="n"/>
      <c r="S221" s="27" t="n"/>
      <c r="T221" s="27" t="n"/>
      <c r="U221" s="28">
        <f>IF(A221="","",IF(COUNTIF($B$5:$B$304,B221)&gt;1,"DUPLICATE","UNIQUE"))</f>
        <v/>
      </c>
      <c r="V221" s="28">
        <f>IF(A221="","",IF(AND(B221&lt;&gt;"",C221&lt;&gt;"",D221&lt;&gt;"",E221&lt;&gt;"",F221&lt;&gt;"",G221&lt;&gt;"",H221&lt;&gt;"",J221&lt;&gt;"",K221&lt;&gt;"",L221&lt;&gt;"",M221&lt;&gt;"",O221&lt;&gt;"",P221&lt;&gt;"",R221&lt;&gt;""),"COMPLETE","MISSING FIELDS"))</f>
        <v/>
      </c>
    </row>
    <row r="222" ht="15" customHeight="1" s="15">
      <c r="A222" s="27" t="n"/>
      <c r="B222" s="27" t="n"/>
      <c r="C222" s="27" t="n"/>
      <c r="D222" s="27" t="n"/>
      <c r="E222" s="27" t="n"/>
      <c r="F222" s="27" t="n"/>
      <c r="G222" s="27" t="n"/>
      <c r="H222" s="27" t="n"/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27" t="n"/>
      <c r="S222" s="27" t="n"/>
      <c r="T222" s="27" t="n"/>
      <c r="U222" s="28">
        <f>IF(A222="","",IF(COUNTIF($B$5:$B$304,B222)&gt;1,"DUPLICATE","UNIQUE"))</f>
        <v/>
      </c>
      <c r="V222" s="28">
        <f>IF(A222="","",IF(AND(B222&lt;&gt;"",C222&lt;&gt;"",D222&lt;&gt;"",E222&lt;&gt;"",F222&lt;&gt;"",G222&lt;&gt;"",H222&lt;&gt;"",J222&lt;&gt;"",K222&lt;&gt;"",L222&lt;&gt;"",M222&lt;&gt;"",O222&lt;&gt;"",P222&lt;&gt;"",R222&lt;&gt;""),"COMPLETE","MISSING FIELDS"))</f>
        <v/>
      </c>
    </row>
    <row r="223" ht="15" customHeight="1" s="15">
      <c r="A223" s="27" t="n"/>
      <c r="B223" s="27" t="n"/>
      <c r="C223" s="27" t="n"/>
      <c r="D223" s="27" t="n"/>
      <c r="E223" s="27" t="n"/>
      <c r="F223" s="27" t="n"/>
      <c r="G223" s="27" t="n"/>
      <c r="H223" s="27" t="n"/>
      <c r="I223" s="27" t="n"/>
      <c r="J223" s="27" t="n"/>
      <c r="K223" s="27" t="n"/>
      <c r="L223" s="27" t="n"/>
      <c r="M223" s="27" t="n"/>
      <c r="N223" s="27" t="n"/>
      <c r="O223" s="27" t="n"/>
      <c r="P223" s="27" t="n"/>
      <c r="Q223" s="27" t="n"/>
      <c r="R223" s="27" t="n"/>
      <c r="S223" s="27" t="n"/>
      <c r="T223" s="27" t="n"/>
      <c r="U223" s="28">
        <f>IF(A223="","",IF(COUNTIF($B$5:$B$304,B223)&gt;1,"DUPLICATE","UNIQUE"))</f>
        <v/>
      </c>
      <c r="V223" s="28">
        <f>IF(A223="","",IF(AND(B223&lt;&gt;"",C223&lt;&gt;"",D223&lt;&gt;"",E223&lt;&gt;"",F223&lt;&gt;"",G223&lt;&gt;"",H223&lt;&gt;"",J223&lt;&gt;"",K223&lt;&gt;"",L223&lt;&gt;"",M223&lt;&gt;"",O223&lt;&gt;"",P223&lt;&gt;"",R223&lt;&gt;""),"COMPLETE","MISSING FIELDS"))</f>
        <v/>
      </c>
    </row>
    <row r="224" ht="15" customHeight="1" s="15">
      <c r="A224" s="27" t="n"/>
      <c r="B224" s="27" t="n"/>
      <c r="C224" s="27" t="n"/>
      <c r="D224" s="27" t="n"/>
      <c r="E224" s="27" t="n"/>
      <c r="F224" s="27" t="n"/>
      <c r="G224" s="27" t="n"/>
      <c r="H224" s="27" t="n"/>
      <c r="I224" s="27" t="n"/>
      <c r="J224" s="27" t="n"/>
      <c r="K224" s="27" t="n"/>
      <c r="L224" s="27" t="n"/>
      <c r="M224" s="27" t="n"/>
      <c r="N224" s="27" t="n"/>
      <c r="O224" s="27" t="n"/>
      <c r="P224" s="27" t="n"/>
      <c r="Q224" s="27" t="n"/>
      <c r="R224" s="27" t="n"/>
      <c r="S224" s="27" t="n"/>
      <c r="T224" s="27" t="n"/>
      <c r="U224" s="28">
        <f>IF(A224="","",IF(COUNTIF($B$5:$B$304,B224)&gt;1,"DUPLICATE","UNIQUE"))</f>
        <v/>
      </c>
      <c r="V224" s="28">
        <f>IF(A224="","",IF(AND(B224&lt;&gt;"",C224&lt;&gt;"",D224&lt;&gt;"",E224&lt;&gt;"",F224&lt;&gt;"",G224&lt;&gt;"",H224&lt;&gt;"",J224&lt;&gt;"",K224&lt;&gt;"",L224&lt;&gt;"",M224&lt;&gt;"",O224&lt;&gt;"",P224&lt;&gt;"",R224&lt;&gt;""),"COMPLETE","MISSING FIELDS"))</f>
        <v/>
      </c>
    </row>
    <row r="225" ht="15" customHeight="1" s="15">
      <c r="A225" s="27" t="n"/>
      <c r="B225" s="27" t="n"/>
      <c r="C225" s="27" t="n"/>
      <c r="D225" s="27" t="n"/>
      <c r="E225" s="27" t="n"/>
      <c r="F225" s="27" t="n"/>
      <c r="G225" s="27" t="n"/>
      <c r="H225" s="27" t="n"/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27" t="n"/>
      <c r="S225" s="27" t="n"/>
      <c r="T225" s="27" t="n"/>
      <c r="U225" s="28">
        <f>IF(A225="","",IF(COUNTIF($B$5:$B$304,B225)&gt;1,"DUPLICATE","UNIQUE"))</f>
        <v/>
      </c>
      <c r="V225" s="28">
        <f>IF(A225="","",IF(AND(B225&lt;&gt;"",C225&lt;&gt;"",D225&lt;&gt;"",E225&lt;&gt;"",F225&lt;&gt;"",G225&lt;&gt;"",H225&lt;&gt;"",J225&lt;&gt;"",K225&lt;&gt;"",L225&lt;&gt;"",M225&lt;&gt;"",O225&lt;&gt;"",P225&lt;&gt;"",R225&lt;&gt;""),"COMPLETE","MISSING FIELDS"))</f>
        <v/>
      </c>
    </row>
    <row r="226" ht="15" customHeight="1" s="15">
      <c r="A226" s="27" t="n"/>
      <c r="B226" s="27" t="n"/>
      <c r="C226" s="27" t="n"/>
      <c r="D226" s="27" t="n"/>
      <c r="E226" s="27" t="n"/>
      <c r="F226" s="27" t="n"/>
      <c r="G226" s="27" t="n"/>
      <c r="H226" s="27" t="n"/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27" t="n"/>
      <c r="S226" s="27" t="n"/>
      <c r="T226" s="27" t="n"/>
      <c r="U226" s="28">
        <f>IF(A226="","",IF(COUNTIF($B$5:$B$304,B226)&gt;1,"DUPLICATE","UNIQUE"))</f>
        <v/>
      </c>
      <c r="V226" s="28">
        <f>IF(A226="","",IF(AND(B226&lt;&gt;"",C226&lt;&gt;"",D226&lt;&gt;"",E226&lt;&gt;"",F226&lt;&gt;"",G226&lt;&gt;"",H226&lt;&gt;"",J226&lt;&gt;"",K226&lt;&gt;"",L226&lt;&gt;"",M226&lt;&gt;"",O226&lt;&gt;"",P226&lt;&gt;"",R226&lt;&gt;""),"COMPLETE","MISSING FIELDS"))</f>
        <v/>
      </c>
    </row>
    <row r="227" ht="15" customHeight="1" s="15">
      <c r="A227" s="27" t="n"/>
      <c r="B227" s="27" t="n"/>
      <c r="C227" s="27" t="n"/>
      <c r="D227" s="27" t="n"/>
      <c r="E227" s="27" t="n"/>
      <c r="F227" s="27" t="n"/>
      <c r="G227" s="27" t="n"/>
      <c r="H227" s="27" t="n"/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27" t="n"/>
      <c r="S227" s="27" t="n"/>
      <c r="T227" s="27" t="n"/>
      <c r="U227" s="28">
        <f>IF(A227="","",IF(COUNTIF($B$5:$B$304,B227)&gt;1,"DUPLICATE","UNIQUE"))</f>
        <v/>
      </c>
      <c r="V227" s="28">
        <f>IF(A227="","",IF(AND(B227&lt;&gt;"",C227&lt;&gt;"",D227&lt;&gt;"",E227&lt;&gt;"",F227&lt;&gt;"",G227&lt;&gt;"",H227&lt;&gt;"",J227&lt;&gt;"",K227&lt;&gt;"",L227&lt;&gt;"",M227&lt;&gt;"",O227&lt;&gt;"",P227&lt;&gt;"",R227&lt;&gt;""),"COMPLETE","MISSING FIELDS"))</f>
        <v/>
      </c>
    </row>
    <row r="228" ht="15" customHeight="1" s="15">
      <c r="A228" s="27" t="n"/>
      <c r="B228" s="27" t="n"/>
      <c r="C228" s="27" t="n"/>
      <c r="D228" s="27" t="n"/>
      <c r="E228" s="27" t="n"/>
      <c r="F228" s="27" t="n"/>
      <c r="G228" s="27" t="n"/>
      <c r="H228" s="27" t="n"/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27" t="n"/>
      <c r="S228" s="27" t="n"/>
      <c r="T228" s="27" t="n"/>
      <c r="U228" s="28">
        <f>IF(A228="","",IF(COUNTIF($B$5:$B$304,B228)&gt;1,"DUPLICATE","UNIQUE"))</f>
        <v/>
      </c>
      <c r="V228" s="28">
        <f>IF(A228="","",IF(AND(B228&lt;&gt;"",C228&lt;&gt;"",D228&lt;&gt;"",E228&lt;&gt;"",F228&lt;&gt;"",G228&lt;&gt;"",H228&lt;&gt;"",J228&lt;&gt;"",K228&lt;&gt;"",L228&lt;&gt;"",M228&lt;&gt;"",O228&lt;&gt;"",P228&lt;&gt;"",R228&lt;&gt;""),"COMPLETE","MISSING FIELDS"))</f>
        <v/>
      </c>
    </row>
    <row r="229" ht="15" customHeight="1" s="15">
      <c r="A229" s="27" t="n"/>
      <c r="B229" s="27" t="n"/>
      <c r="C229" s="27" t="n"/>
      <c r="D229" s="27" t="n"/>
      <c r="E229" s="27" t="n"/>
      <c r="F229" s="27" t="n"/>
      <c r="G229" s="27" t="n"/>
      <c r="H229" s="27" t="n"/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27" t="n"/>
      <c r="S229" s="27" t="n"/>
      <c r="T229" s="27" t="n"/>
      <c r="U229" s="28">
        <f>IF(A229="","",IF(COUNTIF($B$5:$B$304,B229)&gt;1,"DUPLICATE","UNIQUE"))</f>
        <v/>
      </c>
      <c r="V229" s="28">
        <f>IF(A229="","",IF(AND(B229&lt;&gt;"",C229&lt;&gt;"",D229&lt;&gt;"",E229&lt;&gt;"",F229&lt;&gt;"",G229&lt;&gt;"",H229&lt;&gt;"",J229&lt;&gt;"",K229&lt;&gt;"",L229&lt;&gt;"",M229&lt;&gt;"",O229&lt;&gt;"",P229&lt;&gt;"",R229&lt;&gt;""),"COMPLETE","MISSING FIELDS"))</f>
        <v/>
      </c>
    </row>
    <row r="230" ht="15" customHeight="1" s="15">
      <c r="A230" s="27" t="n"/>
      <c r="B230" s="27" t="n"/>
      <c r="C230" s="27" t="n"/>
      <c r="D230" s="27" t="n"/>
      <c r="E230" s="27" t="n"/>
      <c r="F230" s="27" t="n"/>
      <c r="G230" s="27" t="n"/>
      <c r="H230" s="27" t="n"/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  <c r="R230" s="27" t="n"/>
      <c r="S230" s="27" t="n"/>
      <c r="T230" s="27" t="n"/>
      <c r="U230" s="28">
        <f>IF(A230="","",IF(COUNTIF($B$5:$B$304,B230)&gt;1,"DUPLICATE","UNIQUE"))</f>
        <v/>
      </c>
      <c r="V230" s="28">
        <f>IF(A230="","",IF(AND(B230&lt;&gt;"",C230&lt;&gt;"",D230&lt;&gt;"",E230&lt;&gt;"",F230&lt;&gt;"",G230&lt;&gt;"",H230&lt;&gt;"",J230&lt;&gt;"",K230&lt;&gt;"",L230&lt;&gt;"",M230&lt;&gt;"",O230&lt;&gt;"",P230&lt;&gt;"",R230&lt;&gt;""),"COMPLETE","MISSING FIELDS"))</f>
        <v/>
      </c>
    </row>
    <row r="231" ht="15" customHeight="1" s="15">
      <c r="A231" s="27" t="n"/>
      <c r="B231" s="27" t="n"/>
      <c r="C231" s="27" t="n"/>
      <c r="D231" s="27" t="n"/>
      <c r="E231" s="27" t="n"/>
      <c r="F231" s="27" t="n"/>
      <c r="G231" s="27" t="n"/>
      <c r="H231" s="27" t="n"/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27" t="n"/>
      <c r="S231" s="27" t="n"/>
      <c r="T231" s="27" t="n"/>
      <c r="U231" s="28">
        <f>IF(A231="","",IF(COUNTIF($B$5:$B$304,B231)&gt;1,"DUPLICATE","UNIQUE"))</f>
        <v/>
      </c>
      <c r="V231" s="28">
        <f>IF(A231="","",IF(AND(B231&lt;&gt;"",C231&lt;&gt;"",D231&lt;&gt;"",E231&lt;&gt;"",F231&lt;&gt;"",G231&lt;&gt;"",H231&lt;&gt;"",J231&lt;&gt;"",K231&lt;&gt;"",L231&lt;&gt;"",M231&lt;&gt;"",O231&lt;&gt;"",P231&lt;&gt;"",R231&lt;&gt;""),"COMPLETE","MISSING FIELDS"))</f>
        <v/>
      </c>
    </row>
    <row r="232" ht="15" customHeight="1" s="15">
      <c r="A232" s="27" t="n"/>
      <c r="B232" s="27" t="n"/>
      <c r="C232" s="27" t="n"/>
      <c r="D232" s="27" t="n"/>
      <c r="E232" s="27" t="n"/>
      <c r="F232" s="27" t="n"/>
      <c r="G232" s="27" t="n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27" t="n"/>
      <c r="S232" s="27" t="n"/>
      <c r="T232" s="27" t="n"/>
      <c r="U232" s="28">
        <f>IF(A232="","",IF(COUNTIF($B$5:$B$304,B232)&gt;1,"DUPLICATE","UNIQUE"))</f>
        <v/>
      </c>
      <c r="V232" s="28">
        <f>IF(A232="","",IF(AND(B232&lt;&gt;"",C232&lt;&gt;"",D232&lt;&gt;"",E232&lt;&gt;"",F232&lt;&gt;"",G232&lt;&gt;"",H232&lt;&gt;"",J232&lt;&gt;"",K232&lt;&gt;"",L232&lt;&gt;"",M232&lt;&gt;"",O232&lt;&gt;"",P232&lt;&gt;"",R232&lt;&gt;""),"COMPLETE","MISSING FIELDS"))</f>
        <v/>
      </c>
    </row>
    <row r="233" ht="15" customHeight="1" s="15">
      <c r="A233" s="27" t="n"/>
      <c r="B233" s="27" t="n"/>
      <c r="C233" s="27" t="n"/>
      <c r="D233" s="27" t="n"/>
      <c r="E233" s="27" t="n"/>
      <c r="F233" s="27" t="n"/>
      <c r="G233" s="27" t="n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27" t="n"/>
      <c r="S233" s="27" t="n"/>
      <c r="T233" s="27" t="n"/>
      <c r="U233" s="28">
        <f>IF(A233="","",IF(COUNTIF($B$5:$B$304,B233)&gt;1,"DUPLICATE","UNIQUE"))</f>
        <v/>
      </c>
      <c r="V233" s="28">
        <f>IF(A233="","",IF(AND(B233&lt;&gt;"",C233&lt;&gt;"",D233&lt;&gt;"",E233&lt;&gt;"",F233&lt;&gt;"",G233&lt;&gt;"",H233&lt;&gt;"",J233&lt;&gt;"",K233&lt;&gt;"",L233&lt;&gt;"",M233&lt;&gt;"",O233&lt;&gt;"",P233&lt;&gt;"",R233&lt;&gt;""),"COMPLETE","MISSING FIELDS"))</f>
        <v/>
      </c>
    </row>
    <row r="234" ht="15" customHeight="1" s="15">
      <c r="A234" s="27" t="n"/>
      <c r="B234" s="27" t="n"/>
      <c r="C234" s="27" t="n"/>
      <c r="D234" s="27" t="n"/>
      <c r="E234" s="27" t="n"/>
      <c r="F234" s="27" t="n"/>
      <c r="G234" s="27" t="n"/>
      <c r="H234" s="27" t="n"/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n"/>
      <c r="R234" s="27" t="n"/>
      <c r="S234" s="27" t="n"/>
      <c r="T234" s="27" t="n"/>
      <c r="U234" s="28">
        <f>IF(A234="","",IF(COUNTIF($B$5:$B$304,B234)&gt;1,"DUPLICATE","UNIQUE"))</f>
        <v/>
      </c>
      <c r="V234" s="28">
        <f>IF(A234="","",IF(AND(B234&lt;&gt;"",C234&lt;&gt;"",D234&lt;&gt;"",E234&lt;&gt;"",F234&lt;&gt;"",G234&lt;&gt;"",H234&lt;&gt;"",J234&lt;&gt;"",K234&lt;&gt;"",L234&lt;&gt;"",M234&lt;&gt;"",O234&lt;&gt;"",P234&lt;&gt;"",R234&lt;&gt;""),"COMPLETE","MISSING FIELDS"))</f>
        <v/>
      </c>
    </row>
    <row r="235" ht="15" customHeight="1" s="15">
      <c r="A235" s="27" t="n"/>
      <c r="B235" s="27" t="n"/>
      <c r="C235" s="27" t="n"/>
      <c r="D235" s="27" t="n"/>
      <c r="E235" s="27" t="n"/>
      <c r="F235" s="27" t="n"/>
      <c r="G235" s="27" t="n"/>
      <c r="H235" s="27" t="n"/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n"/>
      <c r="R235" s="27" t="n"/>
      <c r="S235" s="27" t="n"/>
      <c r="T235" s="27" t="n"/>
      <c r="U235" s="28">
        <f>IF(A235="","",IF(COUNTIF($B$5:$B$304,B235)&gt;1,"DUPLICATE","UNIQUE"))</f>
        <v/>
      </c>
      <c r="V235" s="28">
        <f>IF(A235="","",IF(AND(B235&lt;&gt;"",C235&lt;&gt;"",D235&lt;&gt;"",E235&lt;&gt;"",F235&lt;&gt;"",G235&lt;&gt;"",H235&lt;&gt;"",J235&lt;&gt;"",K235&lt;&gt;"",L235&lt;&gt;"",M235&lt;&gt;"",O235&lt;&gt;"",P235&lt;&gt;"",R235&lt;&gt;""),"COMPLETE","MISSING FIELDS"))</f>
        <v/>
      </c>
    </row>
    <row r="236" ht="15" customHeight="1" s="15">
      <c r="A236" s="27" t="n"/>
      <c r="B236" s="27" t="n"/>
      <c r="C236" s="27" t="n"/>
      <c r="D236" s="27" t="n"/>
      <c r="E236" s="27" t="n"/>
      <c r="F236" s="27" t="n"/>
      <c r="G236" s="27" t="n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27" t="n"/>
      <c r="S236" s="27" t="n"/>
      <c r="T236" s="27" t="n"/>
      <c r="U236" s="28">
        <f>IF(A236="","",IF(COUNTIF($B$5:$B$304,B236)&gt;1,"DUPLICATE","UNIQUE"))</f>
        <v/>
      </c>
      <c r="V236" s="28">
        <f>IF(A236="","",IF(AND(B236&lt;&gt;"",C236&lt;&gt;"",D236&lt;&gt;"",E236&lt;&gt;"",F236&lt;&gt;"",G236&lt;&gt;"",H236&lt;&gt;"",J236&lt;&gt;"",K236&lt;&gt;"",L236&lt;&gt;"",M236&lt;&gt;"",O236&lt;&gt;"",P236&lt;&gt;"",R236&lt;&gt;""),"COMPLETE","MISSING FIELDS"))</f>
        <v/>
      </c>
    </row>
    <row r="237" ht="15" customHeight="1" s="15">
      <c r="A237" s="27" t="n"/>
      <c r="B237" s="27" t="n"/>
      <c r="C237" s="27" t="n"/>
      <c r="D237" s="27" t="n"/>
      <c r="E237" s="27" t="n"/>
      <c r="F237" s="27" t="n"/>
      <c r="G237" s="27" t="n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27" t="n"/>
      <c r="S237" s="27" t="n"/>
      <c r="T237" s="27" t="n"/>
      <c r="U237" s="28">
        <f>IF(A237="","",IF(COUNTIF($B$5:$B$304,B237)&gt;1,"DUPLICATE","UNIQUE"))</f>
        <v/>
      </c>
      <c r="V237" s="28">
        <f>IF(A237="","",IF(AND(B237&lt;&gt;"",C237&lt;&gt;"",D237&lt;&gt;"",E237&lt;&gt;"",F237&lt;&gt;"",G237&lt;&gt;"",H237&lt;&gt;"",J237&lt;&gt;"",K237&lt;&gt;"",L237&lt;&gt;"",M237&lt;&gt;"",O237&lt;&gt;"",P237&lt;&gt;"",R237&lt;&gt;""),"COMPLETE","MISSING FIELDS"))</f>
        <v/>
      </c>
    </row>
    <row r="238" ht="15" customHeight="1" s="15">
      <c r="A238" s="27" t="n"/>
      <c r="B238" s="27" t="n"/>
      <c r="C238" s="27" t="n"/>
      <c r="D238" s="27" t="n"/>
      <c r="E238" s="27" t="n"/>
      <c r="F238" s="27" t="n"/>
      <c r="G238" s="27" t="n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27" t="n"/>
      <c r="S238" s="27" t="n"/>
      <c r="T238" s="27" t="n"/>
      <c r="U238" s="28">
        <f>IF(A238="","",IF(COUNTIF($B$5:$B$304,B238)&gt;1,"DUPLICATE","UNIQUE"))</f>
        <v/>
      </c>
      <c r="V238" s="28">
        <f>IF(A238="","",IF(AND(B238&lt;&gt;"",C238&lt;&gt;"",D238&lt;&gt;"",E238&lt;&gt;"",F238&lt;&gt;"",G238&lt;&gt;"",H238&lt;&gt;"",J238&lt;&gt;"",K238&lt;&gt;"",L238&lt;&gt;"",M238&lt;&gt;"",O238&lt;&gt;"",P238&lt;&gt;"",R238&lt;&gt;""),"COMPLETE","MISSING FIELDS"))</f>
        <v/>
      </c>
    </row>
    <row r="239" ht="15" customHeight="1" s="15">
      <c r="A239" s="27" t="n"/>
      <c r="B239" s="27" t="n"/>
      <c r="C239" s="27" t="n"/>
      <c r="D239" s="27" t="n"/>
      <c r="E239" s="27" t="n"/>
      <c r="F239" s="27" t="n"/>
      <c r="G239" s="27" t="n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27" t="n"/>
      <c r="S239" s="27" t="n"/>
      <c r="T239" s="27" t="n"/>
      <c r="U239" s="28">
        <f>IF(A239="","",IF(COUNTIF($B$5:$B$304,B239)&gt;1,"DUPLICATE","UNIQUE"))</f>
        <v/>
      </c>
      <c r="V239" s="28">
        <f>IF(A239="","",IF(AND(B239&lt;&gt;"",C239&lt;&gt;"",D239&lt;&gt;"",E239&lt;&gt;"",F239&lt;&gt;"",G239&lt;&gt;"",H239&lt;&gt;"",J239&lt;&gt;"",K239&lt;&gt;"",L239&lt;&gt;"",M239&lt;&gt;"",O239&lt;&gt;"",P239&lt;&gt;"",R239&lt;&gt;""),"COMPLETE","MISSING FIELDS"))</f>
        <v/>
      </c>
    </row>
    <row r="240" ht="15" customHeight="1" s="15">
      <c r="A240" s="27" t="n"/>
      <c r="B240" s="27" t="n"/>
      <c r="C240" s="27" t="n"/>
      <c r="D240" s="27" t="n"/>
      <c r="E240" s="27" t="n"/>
      <c r="F240" s="27" t="n"/>
      <c r="G240" s="27" t="n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27" t="n"/>
      <c r="S240" s="27" t="n"/>
      <c r="T240" s="27" t="n"/>
      <c r="U240" s="28">
        <f>IF(A240="","",IF(COUNTIF($B$5:$B$304,B240)&gt;1,"DUPLICATE","UNIQUE"))</f>
        <v/>
      </c>
      <c r="V240" s="28">
        <f>IF(A240="","",IF(AND(B240&lt;&gt;"",C240&lt;&gt;"",D240&lt;&gt;"",E240&lt;&gt;"",F240&lt;&gt;"",G240&lt;&gt;"",H240&lt;&gt;"",J240&lt;&gt;"",K240&lt;&gt;"",L240&lt;&gt;"",M240&lt;&gt;"",O240&lt;&gt;"",P240&lt;&gt;"",R240&lt;&gt;""),"COMPLETE","MISSING FIELDS"))</f>
        <v/>
      </c>
    </row>
    <row r="241" ht="15" customHeight="1" s="15">
      <c r="A241" s="27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  <c r="T241" s="27" t="n"/>
      <c r="U241" s="28">
        <f>IF(A241="","",IF(COUNTIF($B$5:$B$304,B241)&gt;1,"DUPLICATE","UNIQUE"))</f>
        <v/>
      </c>
      <c r="V241" s="28">
        <f>IF(A241="","",IF(AND(B241&lt;&gt;"",C241&lt;&gt;"",D241&lt;&gt;"",E241&lt;&gt;"",F241&lt;&gt;"",G241&lt;&gt;"",H241&lt;&gt;"",J241&lt;&gt;"",K241&lt;&gt;"",L241&lt;&gt;"",M241&lt;&gt;"",O241&lt;&gt;"",P241&lt;&gt;"",R241&lt;&gt;""),"COMPLETE","MISSING FIELDS"))</f>
        <v/>
      </c>
    </row>
    <row r="242" ht="15" customHeight="1" s="15">
      <c r="A242" s="27" t="n"/>
      <c r="B242" s="27" t="n"/>
      <c r="C242" s="27" t="n"/>
      <c r="D242" s="27" t="n"/>
      <c r="E242" s="27" t="n"/>
      <c r="F242" s="27" t="n"/>
      <c r="G242" s="27" t="n"/>
      <c r="H242" s="27" t="n"/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27" t="n"/>
      <c r="S242" s="27" t="n"/>
      <c r="T242" s="27" t="n"/>
      <c r="U242" s="28">
        <f>IF(A242="","",IF(COUNTIF($B$5:$B$304,B242)&gt;1,"DUPLICATE","UNIQUE"))</f>
        <v/>
      </c>
      <c r="V242" s="28">
        <f>IF(A242="","",IF(AND(B242&lt;&gt;"",C242&lt;&gt;"",D242&lt;&gt;"",E242&lt;&gt;"",F242&lt;&gt;"",G242&lt;&gt;"",H242&lt;&gt;"",J242&lt;&gt;"",K242&lt;&gt;"",L242&lt;&gt;"",M242&lt;&gt;"",O242&lt;&gt;"",P242&lt;&gt;"",R242&lt;&gt;""),"COMPLETE","MISSING FIELDS"))</f>
        <v/>
      </c>
    </row>
    <row r="243" ht="15" customHeight="1" s="15">
      <c r="A243" s="27" t="n"/>
      <c r="B243" s="27" t="n"/>
      <c r="C243" s="27" t="n"/>
      <c r="D243" s="27" t="n"/>
      <c r="E243" s="27" t="n"/>
      <c r="F243" s="27" t="n"/>
      <c r="G243" s="27" t="n"/>
      <c r="H243" s="27" t="n"/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27" t="n"/>
      <c r="S243" s="27" t="n"/>
      <c r="T243" s="27" t="n"/>
      <c r="U243" s="28">
        <f>IF(A243="","",IF(COUNTIF($B$5:$B$304,B243)&gt;1,"DUPLICATE","UNIQUE"))</f>
        <v/>
      </c>
      <c r="V243" s="28">
        <f>IF(A243="","",IF(AND(B243&lt;&gt;"",C243&lt;&gt;"",D243&lt;&gt;"",E243&lt;&gt;"",F243&lt;&gt;"",G243&lt;&gt;"",H243&lt;&gt;"",J243&lt;&gt;"",K243&lt;&gt;"",L243&lt;&gt;"",M243&lt;&gt;"",O243&lt;&gt;"",P243&lt;&gt;"",R243&lt;&gt;""),"COMPLETE","MISSING FIELDS"))</f>
        <v/>
      </c>
    </row>
    <row r="244" ht="15" customHeight="1" s="15">
      <c r="A244" s="27" t="n"/>
      <c r="B244" s="27" t="n"/>
      <c r="C244" s="27" t="n"/>
      <c r="D244" s="27" t="n"/>
      <c r="E244" s="27" t="n"/>
      <c r="F244" s="27" t="n"/>
      <c r="G244" s="27" t="n"/>
      <c r="H244" s="27" t="n"/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  <c r="R244" s="27" t="n"/>
      <c r="S244" s="27" t="n"/>
      <c r="T244" s="27" t="n"/>
      <c r="U244" s="28">
        <f>IF(A244="","",IF(COUNTIF($B$5:$B$304,B244)&gt;1,"DUPLICATE","UNIQUE"))</f>
        <v/>
      </c>
      <c r="V244" s="28">
        <f>IF(A244="","",IF(AND(B244&lt;&gt;"",C244&lt;&gt;"",D244&lt;&gt;"",E244&lt;&gt;"",F244&lt;&gt;"",G244&lt;&gt;"",H244&lt;&gt;"",J244&lt;&gt;"",K244&lt;&gt;"",L244&lt;&gt;"",M244&lt;&gt;"",O244&lt;&gt;"",P244&lt;&gt;"",R244&lt;&gt;""),"COMPLETE","MISSING FIELDS"))</f>
        <v/>
      </c>
    </row>
    <row r="245" ht="15" customHeight="1" s="15">
      <c r="A245" s="27" t="n"/>
      <c r="B245" s="27" t="n"/>
      <c r="C245" s="27" t="n"/>
      <c r="D245" s="27" t="n"/>
      <c r="E245" s="27" t="n"/>
      <c r="F245" s="27" t="n"/>
      <c r="G245" s="27" t="n"/>
      <c r="H245" s="27" t="n"/>
      <c r="I245" s="27" t="n"/>
      <c r="J245" s="27" t="n"/>
      <c r="K245" s="27" t="n"/>
      <c r="L245" s="27" t="n"/>
      <c r="M245" s="27" t="n"/>
      <c r="N245" s="27" t="n"/>
      <c r="O245" s="27" t="n"/>
      <c r="P245" s="27" t="n"/>
      <c r="Q245" s="27" t="n"/>
      <c r="R245" s="27" t="n"/>
      <c r="S245" s="27" t="n"/>
      <c r="T245" s="27" t="n"/>
      <c r="U245" s="28">
        <f>IF(A245="","",IF(COUNTIF($B$5:$B$304,B245)&gt;1,"DUPLICATE","UNIQUE"))</f>
        <v/>
      </c>
      <c r="V245" s="28">
        <f>IF(A245="","",IF(AND(B245&lt;&gt;"",C245&lt;&gt;"",D245&lt;&gt;"",E245&lt;&gt;"",F245&lt;&gt;"",G245&lt;&gt;"",H245&lt;&gt;"",J245&lt;&gt;"",K245&lt;&gt;"",L245&lt;&gt;"",M245&lt;&gt;"",O245&lt;&gt;"",P245&lt;&gt;"",R245&lt;&gt;""),"COMPLETE","MISSING FIELDS"))</f>
        <v/>
      </c>
    </row>
    <row r="246" ht="15" customHeight="1" s="15">
      <c r="A246" s="27" t="n"/>
      <c r="B246" s="27" t="n"/>
      <c r="C246" s="27" t="n"/>
      <c r="D246" s="27" t="n"/>
      <c r="E246" s="27" t="n"/>
      <c r="F246" s="27" t="n"/>
      <c r="G246" s="27" t="n"/>
      <c r="H246" s="27" t="n"/>
      <c r="I246" s="27" t="n"/>
      <c r="J246" s="27" t="n"/>
      <c r="K246" s="27" t="n"/>
      <c r="L246" s="27" t="n"/>
      <c r="M246" s="27" t="n"/>
      <c r="N246" s="27" t="n"/>
      <c r="O246" s="27" t="n"/>
      <c r="P246" s="27" t="n"/>
      <c r="Q246" s="27" t="n"/>
      <c r="R246" s="27" t="n"/>
      <c r="S246" s="27" t="n"/>
      <c r="T246" s="27" t="n"/>
      <c r="U246" s="28">
        <f>IF(A246="","",IF(COUNTIF($B$5:$B$304,B246)&gt;1,"DUPLICATE","UNIQUE"))</f>
        <v/>
      </c>
      <c r="V246" s="28">
        <f>IF(A246="","",IF(AND(B246&lt;&gt;"",C246&lt;&gt;"",D246&lt;&gt;"",E246&lt;&gt;"",F246&lt;&gt;"",G246&lt;&gt;"",H246&lt;&gt;"",J246&lt;&gt;"",K246&lt;&gt;"",L246&lt;&gt;"",M246&lt;&gt;"",O246&lt;&gt;"",P246&lt;&gt;"",R246&lt;&gt;""),"COMPLETE","MISSING FIELDS"))</f>
        <v/>
      </c>
    </row>
    <row r="247" ht="15" customHeight="1" s="15">
      <c r="A247" s="27" t="n"/>
      <c r="B247" s="27" t="n"/>
      <c r="C247" s="27" t="n"/>
      <c r="D247" s="27" t="n"/>
      <c r="E247" s="27" t="n"/>
      <c r="F247" s="27" t="n"/>
      <c r="G247" s="27" t="n"/>
      <c r="H247" s="27" t="n"/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  <c r="R247" s="27" t="n"/>
      <c r="S247" s="27" t="n"/>
      <c r="T247" s="27" t="n"/>
      <c r="U247" s="28">
        <f>IF(A247="","",IF(COUNTIF($B$5:$B$304,B247)&gt;1,"DUPLICATE","UNIQUE"))</f>
        <v/>
      </c>
      <c r="V247" s="28">
        <f>IF(A247="","",IF(AND(B247&lt;&gt;"",C247&lt;&gt;"",D247&lt;&gt;"",E247&lt;&gt;"",F247&lt;&gt;"",G247&lt;&gt;"",H247&lt;&gt;"",J247&lt;&gt;"",K247&lt;&gt;"",L247&lt;&gt;"",M247&lt;&gt;"",O247&lt;&gt;"",P247&lt;&gt;"",R247&lt;&gt;""),"COMPLETE","MISSING FIELDS"))</f>
        <v/>
      </c>
    </row>
    <row r="248" ht="15" customHeight="1" s="15">
      <c r="A248" s="27" t="n"/>
      <c r="B248" s="27" t="n"/>
      <c r="C248" s="27" t="n"/>
      <c r="D248" s="27" t="n"/>
      <c r="E248" s="27" t="n"/>
      <c r="F248" s="27" t="n"/>
      <c r="G248" s="27" t="n"/>
      <c r="H248" s="27" t="n"/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  <c r="R248" s="27" t="n"/>
      <c r="S248" s="27" t="n"/>
      <c r="T248" s="27" t="n"/>
      <c r="U248" s="28">
        <f>IF(A248="","",IF(COUNTIF($B$5:$B$304,B248)&gt;1,"DUPLICATE","UNIQUE"))</f>
        <v/>
      </c>
      <c r="V248" s="28">
        <f>IF(A248="","",IF(AND(B248&lt;&gt;"",C248&lt;&gt;"",D248&lt;&gt;"",E248&lt;&gt;"",F248&lt;&gt;"",G248&lt;&gt;"",H248&lt;&gt;"",J248&lt;&gt;"",K248&lt;&gt;"",L248&lt;&gt;"",M248&lt;&gt;"",O248&lt;&gt;"",P248&lt;&gt;"",R248&lt;&gt;""),"COMPLETE","MISSING FIELDS"))</f>
        <v/>
      </c>
    </row>
    <row r="249" ht="15" customHeight="1" s="15">
      <c r="A249" s="27" t="n"/>
      <c r="B249" s="27" t="n"/>
      <c r="C249" s="27" t="n"/>
      <c r="D249" s="27" t="n"/>
      <c r="E249" s="27" t="n"/>
      <c r="F249" s="27" t="n"/>
      <c r="G249" s="27" t="n"/>
      <c r="H249" s="27" t="n"/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  <c r="R249" s="27" t="n"/>
      <c r="S249" s="27" t="n"/>
      <c r="T249" s="27" t="n"/>
      <c r="U249" s="28">
        <f>IF(A249="","",IF(COUNTIF($B$5:$B$304,B249)&gt;1,"DUPLICATE","UNIQUE"))</f>
        <v/>
      </c>
      <c r="V249" s="28">
        <f>IF(A249="","",IF(AND(B249&lt;&gt;"",C249&lt;&gt;"",D249&lt;&gt;"",E249&lt;&gt;"",F249&lt;&gt;"",G249&lt;&gt;"",H249&lt;&gt;"",J249&lt;&gt;"",K249&lt;&gt;"",L249&lt;&gt;"",M249&lt;&gt;"",O249&lt;&gt;"",P249&lt;&gt;"",R249&lt;&gt;""),"COMPLETE","MISSING FIELDS"))</f>
        <v/>
      </c>
    </row>
    <row r="250" ht="15" customHeight="1" s="15">
      <c r="A250" s="27" t="n"/>
      <c r="B250" s="27" t="n"/>
      <c r="C250" s="27" t="n"/>
      <c r="D250" s="27" t="n"/>
      <c r="E250" s="27" t="n"/>
      <c r="F250" s="27" t="n"/>
      <c r="G250" s="27" t="n"/>
      <c r="H250" s="27" t="n"/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  <c r="R250" s="27" t="n"/>
      <c r="S250" s="27" t="n"/>
      <c r="T250" s="27" t="n"/>
      <c r="U250" s="28">
        <f>IF(A250="","",IF(COUNTIF($B$5:$B$304,B250)&gt;1,"DUPLICATE","UNIQUE"))</f>
        <v/>
      </c>
      <c r="V250" s="28">
        <f>IF(A250="","",IF(AND(B250&lt;&gt;"",C250&lt;&gt;"",D250&lt;&gt;"",E250&lt;&gt;"",F250&lt;&gt;"",G250&lt;&gt;"",H250&lt;&gt;"",J250&lt;&gt;"",K250&lt;&gt;"",L250&lt;&gt;"",M250&lt;&gt;"",O250&lt;&gt;"",P250&lt;&gt;"",R250&lt;&gt;""),"COMPLETE","MISSING FIELDS"))</f>
        <v/>
      </c>
    </row>
    <row r="251" ht="15" customHeight="1" s="15">
      <c r="A251" s="27" t="n"/>
      <c r="B251" s="27" t="n"/>
      <c r="C251" s="27" t="n"/>
      <c r="D251" s="27" t="n"/>
      <c r="E251" s="27" t="n"/>
      <c r="F251" s="27" t="n"/>
      <c r="G251" s="27" t="n"/>
      <c r="H251" s="27" t="n"/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  <c r="R251" s="27" t="n"/>
      <c r="S251" s="27" t="n"/>
      <c r="T251" s="27" t="n"/>
      <c r="U251" s="28">
        <f>IF(A251="","",IF(COUNTIF($B$5:$B$304,B251)&gt;1,"DUPLICATE","UNIQUE"))</f>
        <v/>
      </c>
      <c r="V251" s="28">
        <f>IF(A251="","",IF(AND(B251&lt;&gt;"",C251&lt;&gt;"",D251&lt;&gt;"",E251&lt;&gt;"",F251&lt;&gt;"",G251&lt;&gt;"",H251&lt;&gt;"",J251&lt;&gt;"",K251&lt;&gt;"",L251&lt;&gt;"",M251&lt;&gt;"",O251&lt;&gt;"",P251&lt;&gt;"",R251&lt;&gt;""),"COMPLETE","MISSING FIELDS"))</f>
        <v/>
      </c>
    </row>
    <row r="252" ht="15" customHeight="1" s="15">
      <c r="A252" s="27" t="n"/>
      <c r="B252" s="27" t="n"/>
      <c r="C252" s="27" t="n"/>
      <c r="D252" s="27" t="n"/>
      <c r="E252" s="27" t="n"/>
      <c r="F252" s="27" t="n"/>
      <c r="G252" s="27" t="n"/>
      <c r="H252" s="27" t="n"/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  <c r="R252" s="27" t="n"/>
      <c r="S252" s="27" t="n"/>
      <c r="T252" s="27" t="n"/>
      <c r="U252" s="28">
        <f>IF(A252="","",IF(COUNTIF($B$5:$B$304,B252)&gt;1,"DUPLICATE","UNIQUE"))</f>
        <v/>
      </c>
      <c r="V252" s="28">
        <f>IF(A252="","",IF(AND(B252&lt;&gt;"",C252&lt;&gt;"",D252&lt;&gt;"",E252&lt;&gt;"",F252&lt;&gt;"",G252&lt;&gt;"",H252&lt;&gt;"",J252&lt;&gt;"",K252&lt;&gt;"",L252&lt;&gt;"",M252&lt;&gt;"",O252&lt;&gt;"",P252&lt;&gt;"",R252&lt;&gt;""),"COMPLETE","MISSING FIELDS"))</f>
        <v/>
      </c>
    </row>
    <row r="253" ht="15" customHeight="1" s="15">
      <c r="A253" s="27" t="n"/>
      <c r="B253" s="27" t="n"/>
      <c r="C253" s="27" t="n"/>
      <c r="D253" s="27" t="n"/>
      <c r="E253" s="27" t="n"/>
      <c r="F253" s="27" t="n"/>
      <c r="G253" s="27" t="n"/>
      <c r="H253" s="27" t="n"/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  <c r="R253" s="27" t="n"/>
      <c r="S253" s="27" t="n"/>
      <c r="T253" s="27" t="n"/>
      <c r="U253" s="28">
        <f>IF(A253="","",IF(COUNTIF($B$5:$B$304,B253)&gt;1,"DUPLICATE","UNIQUE"))</f>
        <v/>
      </c>
      <c r="V253" s="28">
        <f>IF(A253="","",IF(AND(B253&lt;&gt;"",C253&lt;&gt;"",D253&lt;&gt;"",E253&lt;&gt;"",F253&lt;&gt;"",G253&lt;&gt;"",H253&lt;&gt;"",J253&lt;&gt;"",K253&lt;&gt;"",L253&lt;&gt;"",M253&lt;&gt;"",O253&lt;&gt;"",P253&lt;&gt;"",R253&lt;&gt;""),"COMPLETE","MISSING FIELDS"))</f>
        <v/>
      </c>
    </row>
    <row r="254" ht="15" customHeight="1" s="15">
      <c r="A254" s="27" t="n"/>
      <c r="B254" s="27" t="n"/>
      <c r="C254" s="27" t="n"/>
      <c r="D254" s="27" t="n"/>
      <c r="E254" s="27" t="n"/>
      <c r="F254" s="27" t="n"/>
      <c r="G254" s="27" t="n"/>
      <c r="H254" s="27" t="n"/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  <c r="R254" s="27" t="n"/>
      <c r="S254" s="27" t="n"/>
      <c r="T254" s="27" t="n"/>
      <c r="U254" s="28">
        <f>IF(A254="","",IF(COUNTIF($B$5:$B$304,B254)&gt;1,"DUPLICATE","UNIQUE"))</f>
        <v/>
      </c>
      <c r="V254" s="28">
        <f>IF(A254="","",IF(AND(B254&lt;&gt;"",C254&lt;&gt;"",D254&lt;&gt;"",E254&lt;&gt;"",F254&lt;&gt;"",G254&lt;&gt;"",H254&lt;&gt;"",J254&lt;&gt;"",K254&lt;&gt;"",L254&lt;&gt;"",M254&lt;&gt;"",O254&lt;&gt;"",P254&lt;&gt;"",R254&lt;&gt;""),"COMPLETE","MISSING FIELDS"))</f>
        <v/>
      </c>
    </row>
    <row r="255" ht="15" customHeight="1" s="15">
      <c r="A255" s="27" t="n"/>
      <c r="B255" s="27" t="n"/>
      <c r="C255" s="27" t="n"/>
      <c r="D255" s="27" t="n"/>
      <c r="E255" s="27" t="n"/>
      <c r="F255" s="27" t="n"/>
      <c r="G255" s="27" t="n"/>
      <c r="H255" s="27" t="n"/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  <c r="R255" s="27" t="n"/>
      <c r="S255" s="27" t="n"/>
      <c r="T255" s="27" t="n"/>
      <c r="U255" s="28">
        <f>IF(A255="","",IF(COUNTIF($B$5:$B$304,B255)&gt;1,"DUPLICATE","UNIQUE"))</f>
        <v/>
      </c>
      <c r="V255" s="28">
        <f>IF(A255="","",IF(AND(B255&lt;&gt;"",C255&lt;&gt;"",D255&lt;&gt;"",E255&lt;&gt;"",F255&lt;&gt;"",G255&lt;&gt;"",H255&lt;&gt;"",J255&lt;&gt;"",K255&lt;&gt;"",L255&lt;&gt;"",M255&lt;&gt;"",O255&lt;&gt;"",P255&lt;&gt;"",R255&lt;&gt;""),"COMPLETE","MISSING FIELDS"))</f>
        <v/>
      </c>
    </row>
    <row r="256" ht="15" customHeight="1" s="15">
      <c r="A256" s="27" t="n"/>
      <c r="B256" s="27" t="n"/>
      <c r="C256" s="27" t="n"/>
      <c r="D256" s="27" t="n"/>
      <c r="E256" s="27" t="n"/>
      <c r="F256" s="27" t="n"/>
      <c r="G256" s="27" t="n"/>
      <c r="H256" s="27" t="n"/>
      <c r="I256" s="27" t="n"/>
      <c r="J256" s="27" t="n"/>
      <c r="K256" s="27" t="n"/>
      <c r="L256" s="27" t="n"/>
      <c r="M256" s="27" t="n"/>
      <c r="N256" s="27" t="n"/>
      <c r="O256" s="27" t="n"/>
      <c r="P256" s="27" t="n"/>
      <c r="Q256" s="27" t="n"/>
      <c r="R256" s="27" t="n"/>
      <c r="S256" s="27" t="n"/>
      <c r="T256" s="27" t="n"/>
      <c r="U256" s="28">
        <f>IF(A256="","",IF(COUNTIF($B$5:$B$304,B256)&gt;1,"DUPLICATE","UNIQUE"))</f>
        <v/>
      </c>
      <c r="V256" s="28">
        <f>IF(A256="","",IF(AND(B256&lt;&gt;"",C256&lt;&gt;"",D256&lt;&gt;"",E256&lt;&gt;"",F256&lt;&gt;"",G256&lt;&gt;"",H256&lt;&gt;"",J256&lt;&gt;"",K256&lt;&gt;"",L256&lt;&gt;"",M256&lt;&gt;"",O256&lt;&gt;"",P256&lt;&gt;"",R256&lt;&gt;""),"COMPLETE","MISSING FIELDS"))</f>
        <v/>
      </c>
    </row>
    <row r="257" ht="15" customHeight="1" s="15">
      <c r="A257" s="27" t="n"/>
      <c r="B257" s="27" t="n"/>
      <c r="C257" s="27" t="n"/>
      <c r="D257" s="27" t="n"/>
      <c r="E257" s="27" t="n"/>
      <c r="F257" s="27" t="n"/>
      <c r="G257" s="27" t="n"/>
      <c r="H257" s="27" t="n"/>
      <c r="I257" s="27" t="n"/>
      <c r="J257" s="27" t="n"/>
      <c r="K257" s="27" t="n"/>
      <c r="L257" s="27" t="n"/>
      <c r="M257" s="27" t="n"/>
      <c r="N257" s="27" t="n"/>
      <c r="O257" s="27" t="n"/>
      <c r="P257" s="27" t="n"/>
      <c r="Q257" s="27" t="n"/>
      <c r="R257" s="27" t="n"/>
      <c r="S257" s="27" t="n"/>
      <c r="T257" s="27" t="n"/>
      <c r="U257" s="28">
        <f>IF(A257="","",IF(COUNTIF($B$5:$B$304,B257)&gt;1,"DUPLICATE","UNIQUE"))</f>
        <v/>
      </c>
      <c r="V257" s="28">
        <f>IF(A257="","",IF(AND(B257&lt;&gt;"",C257&lt;&gt;"",D257&lt;&gt;"",E257&lt;&gt;"",F257&lt;&gt;"",G257&lt;&gt;"",H257&lt;&gt;"",J257&lt;&gt;"",K257&lt;&gt;"",L257&lt;&gt;"",M257&lt;&gt;"",O257&lt;&gt;"",P257&lt;&gt;"",R257&lt;&gt;""),"COMPLETE","MISSING FIELDS"))</f>
        <v/>
      </c>
    </row>
    <row r="258" ht="15" customHeight="1" s="15">
      <c r="A258" s="27" t="n"/>
      <c r="B258" s="27" t="n"/>
      <c r="C258" s="27" t="n"/>
      <c r="D258" s="27" t="n"/>
      <c r="E258" s="27" t="n"/>
      <c r="F258" s="27" t="n"/>
      <c r="G258" s="27" t="n"/>
      <c r="H258" s="27" t="n"/>
      <c r="I258" s="27" t="n"/>
      <c r="J258" s="27" t="n"/>
      <c r="K258" s="27" t="n"/>
      <c r="L258" s="27" t="n"/>
      <c r="M258" s="27" t="n"/>
      <c r="N258" s="27" t="n"/>
      <c r="O258" s="27" t="n"/>
      <c r="P258" s="27" t="n"/>
      <c r="Q258" s="27" t="n"/>
      <c r="R258" s="27" t="n"/>
      <c r="S258" s="27" t="n"/>
      <c r="T258" s="27" t="n"/>
      <c r="U258" s="28">
        <f>IF(A258="","",IF(COUNTIF($B$5:$B$304,B258)&gt;1,"DUPLICATE","UNIQUE"))</f>
        <v/>
      </c>
      <c r="V258" s="28">
        <f>IF(A258="","",IF(AND(B258&lt;&gt;"",C258&lt;&gt;"",D258&lt;&gt;"",E258&lt;&gt;"",F258&lt;&gt;"",G258&lt;&gt;"",H258&lt;&gt;"",J258&lt;&gt;"",K258&lt;&gt;"",L258&lt;&gt;"",M258&lt;&gt;"",O258&lt;&gt;"",P258&lt;&gt;"",R258&lt;&gt;""),"COMPLETE","MISSING FIELDS"))</f>
        <v/>
      </c>
    </row>
    <row r="259" ht="15" customHeight="1" s="15">
      <c r="A259" s="27" t="n"/>
      <c r="B259" s="27" t="n"/>
      <c r="C259" s="27" t="n"/>
      <c r="D259" s="27" t="n"/>
      <c r="E259" s="27" t="n"/>
      <c r="F259" s="27" t="n"/>
      <c r="G259" s="27" t="n"/>
      <c r="H259" s="27" t="n"/>
      <c r="I259" s="27" t="n"/>
      <c r="J259" s="27" t="n"/>
      <c r="K259" s="27" t="n"/>
      <c r="L259" s="27" t="n"/>
      <c r="M259" s="27" t="n"/>
      <c r="N259" s="27" t="n"/>
      <c r="O259" s="27" t="n"/>
      <c r="P259" s="27" t="n"/>
      <c r="Q259" s="27" t="n"/>
      <c r="R259" s="27" t="n"/>
      <c r="S259" s="27" t="n"/>
      <c r="T259" s="27" t="n"/>
      <c r="U259" s="28">
        <f>IF(A259="","",IF(COUNTIF($B$5:$B$304,B259)&gt;1,"DUPLICATE","UNIQUE"))</f>
        <v/>
      </c>
      <c r="V259" s="28">
        <f>IF(A259="","",IF(AND(B259&lt;&gt;"",C259&lt;&gt;"",D259&lt;&gt;"",E259&lt;&gt;"",F259&lt;&gt;"",G259&lt;&gt;"",H259&lt;&gt;"",J259&lt;&gt;"",K259&lt;&gt;"",L259&lt;&gt;"",M259&lt;&gt;"",O259&lt;&gt;"",P259&lt;&gt;"",R259&lt;&gt;""),"COMPLETE","MISSING FIELDS"))</f>
        <v/>
      </c>
    </row>
    <row r="260" ht="15" customHeight="1" s="15">
      <c r="A260" s="27" t="n"/>
      <c r="B260" s="27" t="n"/>
      <c r="C260" s="27" t="n"/>
      <c r="D260" s="27" t="n"/>
      <c r="E260" s="27" t="n"/>
      <c r="F260" s="27" t="n"/>
      <c r="G260" s="27" t="n"/>
      <c r="H260" s="27" t="n"/>
      <c r="I260" s="27" t="n"/>
      <c r="J260" s="27" t="n"/>
      <c r="K260" s="27" t="n"/>
      <c r="L260" s="27" t="n"/>
      <c r="M260" s="27" t="n"/>
      <c r="N260" s="27" t="n"/>
      <c r="O260" s="27" t="n"/>
      <c r="P260" s="27" t="n"/>
      <c r="Q260" s="27" t="n"/>
      <c r="R260" s="27" t="n"/>
      <c r="S260" s="27" t="n"/>
      <c r="T260" s="27" t="n"/>
      <c r="U260" s="28">
        <f>IF(A260="","",IF(COUNTIF($B$5:$B$304,B260)&gt;1,"DUPLICATE","UNIQUE"))</f>
        <v/>
      </c>
      <c r="V260" s="28">
        <f>IF(A260="","",IF(AND(B260&lt;&gt;"",C260&lt;&gt;"",D260&lt;&gt;"",E260&lt;&gt;"",F260&lt;&gt;"",G260&lt;&gt;"",H260&lt;&gt;"",J260&lt;&gt;"",K260&lt;&gt;"",L260&lt;&gt;"",M260&lt;&gt;"",O260&lt;&gt;"",P260&lt;&gt;"",R260&lt;&gt;""),"COMPLETE","MISSING FIELDS"))</f>
        <v/>
      </c>
    </row>
    <row r="261" ht="15" customHeight="1" s="15">
      <c r="A261" s="27" t="n"/>
      <c r="B261" s="27" t="n"/>
      <c r="C261" s="27" t="n"/>
      <c r="D261" s="27" t="n"/>
      <c r="E261" s="27" t="n"/>
      <c r="F261" s="27" t="n"/>
      <c r="G261" s="27" t="n"/>
      <c r="H261" s="27" t="n"/>
      <c r="I261" s="27" t="n"/>
      <c r="J261" s="27" t="n"/>
      <c r="K261" s="27" t="n"/>
      <c r="L261" s="27" t="n"/>
      <c r="M261" s="27" t="n"/>
      <c r="N261" s="27" t="n"/>
      <c r="O261" s="27" t="n"/>
      <c r="P261" s="27" t="n"/>
      <c r="Q261" s="27" t="n"/>
      <c r="R261" s="27" t="n"/>
      <c r="S261" s="27" t="n"/>
      <c r="T261" s="27" t="n"/>
      <c r="U261" s="28">
        <f>IF(A261="","",IF(COUNTIF($B$5:$B$304,B261)&gt;1,"DUPLICATE","UNIQUE"))</f>
        <v/>
      </c>
      <c r="V261" s="28">
        <f>IF(A261="","",IF(AND(B261&lt;&gt;"",C261&lt;&gt;"",D261&lt;&gt;"",E261&lt;&gt;"",F261&lt;&gt;"",G261&lt;&gt;"",H261&lt;&gt;"",J261&lt;&gt;"",K261&lt;&gt;"",L261&lt;&gt;"",M261&lt;&gt;"",O261&lt;&gt;"",P261&lt;&gt;"",R261&lt;&gt;""),"COMPLETE","MISSING FIELDS"))</f>
        <v/>
      </c>
    </row>
    <row r="262" ht="15" customHeight="1" s="15">
      <c r="A262" s="27" t="n"/>
      <c r="B262" s="27" t="n"/>
      <c r="C262" s="27" t="n"/>
      <c r="D262" s="27" t="n"/>
      <c r="E262" s="27" t="n"/>
      <c r="F262" s="27" t="n"/>
      <c r="G262" s="27" t="n"/>
      <c r="H262" s="27" t="n"/>
      <c r="I262" s="27" t="n"/>
      <c r="J262" s="27" t="n"/>
      <c r="K262" s="27" t="n"/>
      <c r="L262" s="27" t="n"/>
      <c r="M262" s="27" t="n"/>
      <c r="N262" s="27" t="n"/>
      <c r="O262" s="27" t="n"/>
      <c r="P262" s="27" t="n"/>
      <c r="Q262" s="27" t="n"/>
      <c r="R262" s="27" t="n"/>
      <c r="S262" s="27" t="n"/>
      <c r="T262" s="27" t="n"/>
      <c r="U262" s="28">
        <f>IF(A262="","",IF(COUNTIF($B$5:$B$304,B262)&gt;1,"DUPLICATE","UNIQUE"))</f>
        <v/>
      </c>
      <c r="V262" s="28">
        <f>IF(A262="","",IF(AND(B262&lt;&gt;"",C262&lt;&gt;"",D262&lt;&gt;"",E262&lt;&gt;"",F262&lt;&gt;"",G262&lt;&gt;"",H262&lt;&gt;"",J262&lt;&gt;"",K262&lt;&gt;"",L262&lt;&gt;"",M262&lt;&gt;"",O262&lt;&gt;"",P262&lt;&gt;"",R262&lt;&gt;""),"COMPLETE","MISSING FIELDS"))</f>
        <v/>
      </c>
    </row>
    <row r="263" ht="15" customHeight="1" s="15">
      <c r="A263" s="27" t="n"/>
      <c r="B263" s="27" t="n"/>
      <c r="C263" s="27" t="n"/>
      <c r="D263" s="27" t="n"/>
      <c r="E263" s="27" t="n"/>
      <c r="F263" s="27" t="n"/>
      <c r="G263" s="27" t="n"/>
      <c r="H263" s="27" t="n"/>
      <c r="I263" s="27" t="n"/>
      <c r="J263" s="27" t="n"/>
      <c r="K263" s="27" t="n"/>
      <c r="L263" s="27" t="n"/>
      <c r="M263" s="27" t="n"/>
      <c r="N263" s="27" t="n"/>
      <c r="O263" s="27" t="n"/>
      <c r="P263" s="27" t="n"/>
      <c r="Q263" s="27" t="n"/>
      <c r="R263" s="27" t="n"/>
      <c r="S263" s="27" t="n"/>
      <c r="T263" s="27" t="n"/>
      <c r="U263" s="28">
        <f>IF(A263="","",IF(COUNTIF($B$5:$B$304,B263)&gt;1,"DUPLICATE","UNIQUE"))</f>
        <v/>
      </c>
      <c r="V263" s="28">
        <f>IF(A263="","",IF(AND(B263&lt;&gt;"",C263&lt;&gt;"",D263&lt;&gt;"",E263&lt;&gt;"",F263&lt;&gt;"",G263&lt;&gt;"",H263&lt;&gt;"",J263&lt;&gt;"",K263&lt;&gt;"",L263&lt;&gt;"",M263&lt;&gt;"",O263&lt;&gt;"",P263&lt;&gt;"",R263&lt;&gt;""),"COMPLETE","MISSING FIELDS"))</f>
        <v/>
      </c>
    </row>
    <row r="264" ht="15" customHeight="1" s="15">
      <c r="A264" s="27" t="n"/>
      <c r="B264" s="27" t="n"/>
      <c r="C264" s="27" t="n"/>
      <c r="D264" s="27" t="n"/>
      <c r="E264" s="27" t="n"/>
      <c r="F264" s="27" t="n"/>
      <c r="G264" s="27" t="n"/>
      <c r="H264" s="27" t="n"/>
      <c r="I264" s="27" t="n"/>
      <c r="J264" s="27" t="n"/>
      <c r="K264" s="27" t="n"/>
      <c r="L264" s="27" t="n"/>
      <c r="M264" s="27" t="n"/>
      <c r="N264" s="27" t="n"/>
      <c r="O264" s="27" t="n"/>
      <c r="P264" s="27" t="n"/>
      <c r="Q264" s="27" t="n"/>
      <c r="R264" s="27" t="n"/>
      <c r="S264" s="27" t="n"/>
      <c r="T264" s="27" t="n"/>
      <c r="U264" s="28">
        <f>IF(A264="","",IF(COUNTIF($B$5:$B$304,B264)&gt;1,"DUPLICATE","UNIQUE"))</f>
        <v/>
      </c>
      <c r="V264" s="28">
        <f>IF(A264="","",IF(AND(B264&lt;&gt;"",C264&lt;&gt;"",D264&lt;&gt;"",E264&lt;&gt;"",F264&lt;&gt;"",G264&lt;&gt;"",H264&lt;&gt;"",J264&lt;&gt;"",K264&lt;&gt;"",L264&lt;&gt;"",M264&lt;&gt;"",O264&lt;&gt;"",P264&lt;&gt;"",R264&lt;&gt;""),"COMPLETE","MISSING FIELDS"))</f>
        <v/>
      </c>
    </row>
    <row r="265" ht="15" customHeight="1" s="15">
      <c r="A265" s="27" t="n"/>
      <c r="B265" s="27" t="n"/>
      <c r="C265" s="27" t="n"/>
      <c r="D265" s="27" t="n"/>
      <c r="E265" s="27" t="n"/>
      <c r="F265" s="27" t="n"/>
      <c r="G265" s="27" t="n"/>
      <c r="H265" s="27" t="n"/>
      <c r="I265" s="27" t="n"/>
      <c r="J265" s="27" t="n"/>
      <c r="K265" s="27" t="n"/>
      <c r="L265" s="27" t="n"/>
      <c r="M265" s="27" t="n"/>
      <c r="N265" s="27" t="n"/>
      <c r="O265" s="27" t="n"/>
      <c r="P265" s="27" t="n"/>
      <c r="Q265" s="27" t="n"/>
      <c r="R265" s="27" t="n"/>
      <c r="S265" s="27" t="n"/>
      <c r="T265" s="27" t="n"/>
      <c r="U265" s="28">
        <f>IF(A265="","",IF(COUNTIF($B$5:$B$304,B265)&gt;1,"DUPLICATE","UNIQUE"))</f>
        <v/>
      </c>
      <c r="V265" s="28">
        <f>IF(A265="","",IF(AND(B265&lt;&gt;"",C265&lt;&gt;"",D265&lt;&gt;"",E265&lt;&gt;"",F265&lt;&gt;"",G265&lt;&gt;"",H265&lt;&gt;"",J265&lt;&gt;"",K265&lt;&gt;"",L265&lt;&gt;"",M265&lt;&gt;"",O265&lt;&gt;"",P265&lt;&gt;"",R265&lt;&gt;""),"COMPLETE","MISSING FIELDS"))</f>
        <v/>
      </c>
    </row>
    <row r="266" ht="15" customHeight="1" s="15">
      <c r="A266" s="27" t="n"/>
      <c r="B266" s="27" t="n"/>
      <c r="C266" s="27" t="n"/>
      <c r="D266" s="27" t="n"/>
      <c r="E266" s="27" t="n"/>
      <c r="F266" s="27" t="n"/>
      <c r="G266" s="27" t="n"/>
      <c r="H266" s="27" t="n"/>
      <c r="I266" s="27" t="n"/>
      <c r="J266" s="27" t="n"/>
      <c r="K266" s="27" t="n"/>
      <c r="L266" s="27" t="n"/>
      <c r="M266" s="27" t="n"/>
      <c r="N266" s="27" t="n"/>
      <c r="O266" s="27" t="n"/>
      <c r="P266" s="27" t="n"/>
      <c r="Q266" s="27" t="n"/>
      <c r="R266" s="27" t="n"/>
      <c r="S266" s="27" t="n"/>
      <c r="T266" s="27" t="n"/>
      <c r="U266" s="28">
        <f>IF(A266="","",IF(COUNTIF($B$5:$B$304,B266)&gt;1,"DUPLICATE","UNIQUE"))</f>
        <v/>
      </c>
      <c r="V266" s="28">
        <f>IF(A266="","",IF(AND(B266&lt;&gt;"",C266&lt;&gt;"",D266&lt;&gt;"",E266&lt;&gt;"",F266&lt;&gt;"",G266&lt;&gt;"",H266&lt;&gt;"",J266&lt;&gt;"",K266&lt;&gt;"",L266&lt;&gt;"",M266&lt;&gt;"",O266&lt;&gt;"",P266&lt;&gt;"",R266&lt;&gt;""),"COMPLETE","MISSING FIELDS"))</f>
        <v/>
      </c>
    </row>
    <row r="267" ht="15" customHeight="1" s="15">
      <c r="A267" s="27" t="n"/>
      <c r="B267" s="27" t="n"/>
      <c r="C267" s="27" t="n"/>
      <c r="D267" s="27" t="n"/>
      <c r="E267" s="27" t="n"/>
      <c r="F267" s="27" t="n"/>
      <c r="G267" s="27" t="n"/>
      <c r="H267" s="27" t="n"/>
      <c r="I267" s="27" t="n"/>
      <c r="J267" s="27" t="n"/>
      <c r="K267" s="27" t="n"/>
      <c r="L267" s="27" t="n"/>
      <c r="M267" s="27" t="n"/>
      <c r="N267" s="27" t="n"/>
      <c r="O267" s="27" t="n"/>
      <c r="P267" s="27" t="n"/>
      <c r="Q267" s="27" t="n"/>
      <c r="R267" s="27" t="n"/>
      <c r="S267" s="27" t="n"/>
      <c r="T267" s="27" t="n"/>
      <c r="U267" s="28">
        <f>IF(A267="","",IF(COUNTIF($B$5:$B$304,B267)&gt;1,"DUPLICATE","UNIQUE"))</f>
        <v/>
      </c>
      <c r="V267" s="28">
        <f>IF(A267="","",IF(AND(B267&lt;&gt;"",C267&lt;&gt;"",D267&lt;&gt;"",E267&lt;&gt;"",F267&lt;&gt;"",G267&lt;&gt;"",H267&lt;&gt;"",J267&lt;&gt;"",K267&lt;&gt;"",L267&lt;&gt;"",M267&lt;&gt;"",O267&lt;&gt;"",P267&lt;&gt;"",R267&lt;&gt;""),"COMPLETE","MISSING FIELDS"))</f>
        <v/>
      </c>
    </row>
    <row r="268" ht="15" customHeight="1" s="15">
      <c r="A268" s="27" t="n"/>
      <c r="B268" s="27" t="n"/>
      <c r="C268" s="27" t="n"/>
      <c r="D268" s="27" t="n"/>
      <c r="E268" s="27" t="n"/>
      <c r="F268" s="27" t="n"/>
      <c r="G268" s="27" t="n"/>
      <c r="H268" s="27" t="n"/>
      <c r="I268" s="27" t="n"/>
      <c r="J268" s="27" t="n"/>
      <c r="K268" s="27" t="n"/>
      <c r="L268" s="27" t="n"/>
      <c r="M268" s="27" t="n"/>
      <c r="N268" s="27" t="n"/>
      <c r="O268" s="27" t="n"/>
      <c r="P268" s="27" t="n"/>
      <c r="Q268" s="27" t="n"/>
      <c r="R268" s="27" t="n"/>
      <c r="S268" s="27" t="n"/>
      <c r="T268" s="27" t="n"/>
      <c r="U268" s="28">
        <f>IF(A268="","",IF(COUNTIF($B$5:$B$304,B268)&gt;1,"DUPLICATE","UNIQUE"))</f>
        <v/>
      </c>
      <c r="V268" s="28">
        <f>IF(A268="","",IF(AND(B268&lt;&gt;"",C268&lt;&gt;"",D268&lt;&gt;"",E268&lt;&gt;"",F268&lt;&gt;"",G268&lt;&gt;"",H268&lt;&gt;"",J268&lt;&gt;"",K268&lt;&gt;"",L268&lt;&gt;"",M268&lt;&gt;"",O268&lt;&gt;"",P268&lt;&gt;"",R268&lt;&gt;""),"COMPLETE","MISSING FIELDS"))</f>
        <v/>
      </c>
    </row>
    <row r="269" ht="15" customHeight="1" s="15">
      <c r="A269" s="27" t="n"/>
      <c r="B269" s="27" t="n"/>
      <c r="C269" s="27" t="n"/>
      <c r="D269" s="27" t="n"/>
      <c r="E269" s="27" t="n"/>
      <c r="F269" s="27" t="n"/>
      <c r="G269" s="27" t="n"/>
      <c r="H269" s="27" t="n"/>
      <c r="I269" s="27" t="n"/>
      <c r="J269" s="27" t="n"/>
      <c r="K269" s="27" t="n"/>
      <c r="L269" s="27" t="n"/>
      <c r="M269" s="27" t="n"/>
      <c r="N269" s="27" t="n"/>
      <c r="O269" s="27" t="n"/>
      <c r="P269" s="27" t="n"/>
      <c r="Q269" s="27" t="n"/>
      <c r="R269" s="27" t="n"/>
      <c r="S269" s="27" t="n"/>
      <c r="T269" s="27" t="n"/>
      <c r="U269" s="28">
        <f>IF(A269="","",IF(COUNTIF($B$5:$B$304,B269)&gt;1,"DUPLICATE","UNIQUE"))</f>
        <v/>
      </c>
      <c r="V269" s="28">
        <f>IF(A269="","",IF(AND(B269&lt;&gt;"",C269&lt;&gt;"",D269&lt;&gt;"",E269&lt;&gt;"",F269&lt;&gt;"",G269&lt;&gt;"",H269&lt;&gt;"",J269&lt;&gt;"",K269&lt;&gt;"",L269&lt;&gt;"",M269&lt;&gt;"",O269&lt;&gt;"",P269&lt;&gt;"",R269&lt;&gt;""),"COMPLETE","MISSING FIELDS"))</f>
        <v/>
      </c>
    </row>
    <row r="270" ht="15" customHeight="1" s="15">
      <c r="A270" s="27" t="n"/>
      <c r="B270" s="27" t="n"/>
      <c r="C270" s="27" t="n"/>
      <c r="D270" s="27" t="n"/>
      <c r="E270" s="27" t="n"/>
      <c r="F270" s="27" t="n"/>
      <c r="G270" s="27" t="n"/>
      <c r="H270" s="27" t="n"/>
      <c r="I270" s="27" t="n"/>
      <c r="J270" s="27" t="n"/>
      <c r="K270" s="27" t="n"/>
      <c r="L270" s="27" t="n"/>
      <c r="M270" s="27" t="n"/>
      <c r="N270" s="27" t="n"/>
      <c r="O270" s="27" t="n"/>
      <c r="P270" s="27" t="n"/>
      <c r="Q270" s="27" t="n"/>
      <c r="R270" s="27" t="n"/>
      <c r="S270" s="27" t="n"/>
      <c r="T270" s="27" t="n"/>
      <c r="U270" s="28">
        <f>IF(A270="","",IF(COUNTIF($B$5:$B$304,B270)&gt;1,"DUPLICATE","UNIQUE"))</f>
        <v/>
      </c>
      <c r="V270" s="28">
        <f>IF(A270="","",IF(AND(B270&lt;&gt;"",C270&lt;&gt;"",D270&lt;&gt;"",E270&lt;&gt;"",F270&lt;&gt;"",G270&lt;&gt;"",H270&lt;&gt;"",J270&lt;&gt;"",K270&lt;&gt;"",L270&lt;&gt;"",M270&lt;&gt;"",O270&lt;&gt;"",P270&lt;&gt;"",R270&lt;&gt;""),"COMPLETE","MISSING FIELDS"))</f>
        <v/>
      </c>
    </row>
    <row r="271" ht="15" customHeight="1" s="15">
      <c r="A271" s="27" t="n"/>
      <c r="B271" s="27" t="n"/>
      <c r="C271" s="27" t="n"/>
      <c r="D271" s="27" t="n"/>
      <c r="E271" s="27" t="n"/>
      <c r="F271" s="27" t="n"/>
      <c r="G271" s="27" t="n"/>
      <c r="H271" s="27" t="n"/>
      <c r="I271" s="27" t="n"/>
      <c r="J271" s="27" t="n"/>
      <c r="K271" s="27" t="n"/>
      <c r="L271" s="27" t="n"/>
      <c r="M271" s="27" t="n"/>
      <c r="N271" s="27" t="n"/>
      <c r="O271" s="27" t="n"/>
      <c r="P271" s="27" t="n"/>
      <c r="Q271" s="27" t="n"/>
      <c r="R271" s="27" t="n"/>
      <c r="S271" s="27" t="n"/>
      <c r="T271" s="27" t="n"/>
      <c r="U271" s="28">
        <f>IF(A271="","",IF(COUNTIF($B$5:$B$304,B271)&gt;1,"DUPLICATE","UNIQUE"))</f>
        <v/>
      </c>
      <c r="V271" s="28">
        <f>IF(A271="","",IF(AND(B271&lt;&gt;"",C271&lt;&gt;"",D271&lt;&gt;"",E271&lt;&gt;"",F271&lt;&gt;"",G271&lt;&gt;"",H271&lt;&gt;"",J271&lt;&gt;"",K271&lt;&gt;"",L271&lt;&gt;"",M271&lt;&gt;"",O271&lt;&gt;"",P271&lt;&gt;"",R271&lt;&gt;""),"COMPLETE","MISSING FIELDS"))</f>
        <v/>
      </c>
    </row>
    <row r="272" ht="15" customHeight="1" s="15">
      <c r="A272" s="27" t="n"/>
      <c r="B272" s="27" t="n"/>
      <c r="C272" s="27" t="n"/>
      <c r="D272" s="27" t="n"/>
      <c r="E272" s="27" t="n"/>
      <c r="F272" s="27" t="n"/>
      <c r="G272" s="27" t="n"/>
      <c r="H272" s="27" t="n"/>
      <c r="I272" s="27" t="n"/>
      <c r="J272" s="27" t="n"/>
      <c r="K272" s="27" t="n"/>
      <c r="L272" s="27" t="n"/>
      <c r="M272" s="27" t="n"/>
      <c r="N272" s="27" t="n"/>
      <c r="O272" s="27" t="n"/>
      <c r="P272" s="27" t="n"/>
      <c r="Q272" s="27" t="n"/>
      <c r="R272" s="27" t="n"/>
      <c r="S272" s="27" t="n"/>
      <c r="T272" s="27" t="n"/>
      <c r="U272" s="28">
        <f>IF(A272="","",IF(COUNTIF($B$5:$B$304,B272)&gt;1,"DUPLICATE","UNIQUE"))</f>
        <v/>
      </c>
      <c r="V272" s="28">
        <f>IF(A272="","",IF(AND(B272&lt;&gt;"",C272&lt;&gt;"",D272&lt;&gt;"",E272&lt;&gt;"",F272&lt;&gt;"",G272&lt;&gt;"",H272&lt;&gt;"",J272&lt;&gt;"",K272&lt;&gt;"",L272&lt;&gt;"",M272&lt;&gt;"",O272&lt;&gt;"",P272&lt;&gt;"",R272&lt;&gt;""),"COMPLETE","MISSING FIELDS"))</f>
        <v/>
      </c>
    </row>
    <row r="273" ht="15" customHeight="1" s="15">
      <c r="A273" s="27" t="n"/>
      <c r="B273" s="27" t="n"/>
      <c r="C273" s="27" t="n"/>
      <c r="D273" s="27" t="n"/>
      <c r="E273" s="27" t="n"/>
      <c r="F273" s="27" t="n"/>
      <c r="G273" s="27" t="n"/>
      <c r="H273" s="27" t="n"/>
      <c r="I273" s="27" t="n"/>
      <c r="J273" s="27" t="n"/>
      <c r="K273" s="27" t="n"/>
      <c r="L273" s="27" t="n"/>
      <c r="M273" s="27" t="n"/>
      <c r="N273" s="27" t="n"/>
      <c r="O273" s="27" t="n"/>
      <c r="P273" s="27" t="n"/>
      <c r="Q273" s="27" t="n"/>
      <c r="R273" s="27" t="n"/>
      <c r="S273" s="27" t="n"/>
      <c r="T273" s="27" t="n"/>
      <c r="U273" s="28">
        <f>IF(A273="","",IF(COUNTIF($B$5:$B$304,B273)&gt;1,"DUPLICATE","UNIQUE"))</f>
        <v/>
      </c>
      <c r="V273" s="28">
        <f>IF(A273="","",IF(AND(B273&lt;&gt;"",C273&lt;&gt;"",D273&lt;&gt;"",E273&lt;&gt;"",F273&lt;&gt;"",G273&lt;&gt;"",H273&lt;&gt;"",J273&lt;&gt;"",K273&lt;&gt;"",L273&lt;&gt;"",M273&lt;&gt;"",O273&lt;&gt;"",P273&lt;&gt;"",R273&lt;&gt;""),"COMPLETE","MISSING FIELDS"))</f>
        <v/>
      </c>
    </row>
    <row r="274" ht="15" customHeight="1" s="15">
      <c r="A274" s="27" t="n"/>
      <c r="B274" s="27" t="n"/>
      <c r="C274" s="27" t="n"/>
      <c r="D274" s="27" t="n"/>
      <c r="E274" s="27" t="n"/>
      <c r="F274" s="27" t="n"/>
      <c r="G274" s="27" t="n"/>
      <c r="H274" s="27" t="n"/>
      <c r="I274" s="27" t="n"/>
      <c r="J274" s="27" t="n"/>
      <c r="K274" s="27" t="n"/>
      <c r="L274" s="27" t="n"/>
      <c r="M274" s="27" t="n"/>
      <c r="N274" s="27" t="n"/>
      <c r="O274" s="27" t="n"/>
      <c r="P274" s="27" t="n"/>
      <c r="Q274" s="27" t="n"/>
      <c r="R274" s="27" t="n"/>
      <c r="S274" s="27" t="n"/>
      <c r="T274" s="27" t="n"/>
      <c r="U274" s="28">
        <f>IF(A274="","",IF(COUNTIF($B$5:$B$304,B274)&gt;1,"DUPLICATE","UNIQUE"))</f>
        <v/>
      </c>
      <c r="V274" s="28">
        <f>IF(A274="","",IF(AND(B274&lt;&gt;"",C274&lt;&gt;"",D274&lt;&gt;"",E274&lt;&gt;"",F274&lt;&gt;"",G274&lt;&gt;"",H274&lt;&gt;"",J274&lt;&gt;"",K274&lt;&gt;"",L274&lt;&gt;"",M274&lt;&gt;"",O274&lt;&gt;"",P274&lt;&gt;"",R274&lt;&gt;""),"COMPLETE","MISSING FIELDS"))</f>
        <v/>
      </c>
    </row>
    <row r="275" ht="15" customHeight="1" s="15">
      <c r="A275" s="27" t="n"/>
      <c r="B275" s="27" t="n"/>
      <c r="C275" s="27" t="n"/>
      <c r="D275" s="27" t="n"/>
      <c r="E275" s="27" t="n"/>
      <c r="F275" s="27" t="n"/>
      <c r="G275" s="27" t="n"/>
      <c r="H275" s="27" t="n"/>
      <c r="I275" s="27" t="n"/>
      <c r="J275" s="27" t="n"/>
      <c r="K275" s="27" t="n"/>
      <c r="L275" s="27" t="n"/>
      <c r="M275" s="27" t="n"/>
      <c r="N275" s="27" t="n"/>
      <c r="O275" s="27" t="n"/>
      <c r="P275" s="27" t="n"/>
      <c r="Q275" s="27" t="n"/>
      <c r="R275" s="27" t="n"/>
      <c r="S275" s="27" t="n"/>
      <c r="T275" s="27" t="n"/>
      <c r="U275" s="28">
        <f>IF(A275="","",IF(COUNTIF($B$5:$B$304,B275)&gt;1,"DUPLICATE","UNIQUE"))</f>
        <v/>
      </c>
      <c r="V275" s="28">
        <f>IF(A275="","",IF(AND(B275&lt;&gt;"",C275&lt;&gt;"",D275&lt;&gt;"",E275&lt;&gt;"",F275&lt;&gt;"",G275&lt;&gt;"",H275&lt;&gt;"",J275&lt;&gt;"",K275&lt;&gt;"",L275&lt;&gt;"",M275&lt;&gt;"",O275&lt;&gt;"",P275&lt;&gt;"",R275&lt;&gt;""),"COMPLETE","MISSING FIELDS"))</f>
        <v/>
      </c>
    </row>
    <row r="276" ht="15" customHeight="1" s="15">
      <c r="A276" s="27" t="n"/>
      <c r="B276" s="27" t="n"/>
      <c r="C276" s="27" t="n"/>
      <c r="D276" s="27" t="n"/>
      <c r="E276" s="27" t="n"/>
      <c r="F276" s="27" t="n"/>
      <c r="G276" s="27" t="n"/>
      <c r="H276" s="27" t="n"/>
      <c r="I276" s="27" t="n"/>
      <c r="J276" s="27" t="n"/>
      <c r="K276" s="27" t="n"/>
      <c r="L276" s="27" t="n"/>
      <c r="M276" s="27" t="n"/>
      <c r="N276" s="27" t="n"/>
      <c r="O276" s="27" t="n"/>
      <c r="P276" s="27" t="n"/>
      <c r="Q276" s="27" t="n"/>
      <c r="R276" s="27" t="n"/>
      <c r="S276" s="27" t="n"/>
      <c r="T276" s="27" t="n"/>
      <c r="U276" s="28">
        <f>IF(A276="","",IF(COUNTIF($B$5:$B$304,B276)&gt;1,"DUPLICATE","UNIQUE"))</f>
        <v/>
      </c>
      <c r="V276" s="28">
        <f>IF(A276="","",IF(AND(B276&lt;&gt;"",C276&lt;&gt;"",D276&lt;&gt;"",E276&lt;&gt;"",F276&lt;&gt;"",G276&lt;&gt;"",H276&lt;&gt;"",J276&lt;&gt;"",K276&lt;&gt;"",L276&lt;&gt;"",M276&lt;&gt;"",O276&lt;&gt;"",P276&lt;&gt;"",R276&lt;&gt;""),"COMPLETE","MISSING FIELDS"))</f>
        <v/>
      </c>
    </row>
    <row r="277" ht="15" customHeight="1" s="15">
      <c r="A277" s="27" t="n"/>
      <c r="B277" s="27" t="n"/>
      <c r="C277" s="27" t="n"/>
      <c r="D277" s="27" t="n"/>
      <c r="E277" s="27" t="n"/>
      <c r="F277" s="27" t="n"/>
      <c r="G277" s="27" t="n"/>
      <c r="H277" s="27" t="n"/>
      <c r="I277" s="27" t="n"/>
      <c r="J277" s="27" t="n"/>
      <c r="K277" s="27" t="n"/>
      <c r="L277" s="27" t="n"/>
      <c r="M277" s="27" t="n"/>
      <c r="N277" s="27" t="n"/>
      <c r="O277" s="27" t="n"/>
      <c r="P277" s="27" t="n"/>
      <c r="Q277" s="27" t="n"/>
      <c r="R277" s="27" t="n"/>
      <c r="S277" s="27" t="n"/>
      <c r="T277" s="27" t="n"/>
      <c r="U277" s="28">
        <f>IF(A277="","",IF(COUNTIF($B$5:$B$304,B277)&gt;1,"DUPLICATE","UNIQUE"))</f>
        <v/>
      </c>
      <c r="V277" s="28">
        <f>IF(A277="","",IF(AND(B277&lt;&gt;"",C277&lt;&gt;"",D277&lt;&gt;"",E277&lt;&gt;"",F277&lt;&gt;"",G277&lt;&gt;"",H277&lt;&gt;"",J277&lt;&gt;"",K277&lt;&gt;"",L277&lt;&gt;"",M277&lt;&gt;"",O277&lt;&gt;"",P277&lt;&gt;"",R277&lt;&gt;""),"COMPLETE","MISSING FIELDS"))</f>
        <v/>
      </c>
    </row>
    <row r="278" ht="15" customHeight="1" s="15">
      <c r="A278" s="27" t="n"/>
      <c r="B278" s="27" t="n"/>
      <c r="C278" s="27" t="n"/>
      <c r="D278" s="27" t="n"/>
      <c r="E278" s="27" t="n"/>
      <c r="F278" s="27" t="n"/>
      <c r="G278" s="27" t="n"/>
      <c r="H278" s="27" t="n"/>
      <c r="I278" s="27" t="n"/>
      <c r="J278" s="27" t="n"/>
      <c r="K278" s="27" t="n"/>
      <c r="L278" s="27" t="n"/>
      <c r="M278" s="27" t="n"/>
      <c r="N278" s="27" t="n"/>
      <c r="O278" s="27" t="n"/>
      <c r="P278" s="27" t="n"/>
      <c r="Q278" s="27" t="n"/>
      <c r="R278" s="27" t="n"/>
      <c r="S278" s="27" t="n"/>
      <c r="T278" s="27" t="n"/>
      <c r="U278" s="28">
        <f>IF(A278="","",IF(COUNTIF($B$5:$B$304,B278)&gt;1,"DUPLICATE","UNIQUE"))</f>
        <v/>
      </c>
      <c r="V278" s="28">
        <f>IF(A278="","",IF(AND(B278&lt;&gt;"",C278&lt;&gt;"",D278&lt;&gt;"",E278&lt;&gt;"",F278&lt;&gt;"",G278&lt;&gt;"",H278&lt;&gt;"",J278&lt;&gt;"",K278&lt;&gt;"",L278&lt;&gt;"",M278&lt;&gt;"",O278&lt;&gt;"",P278&lt;&gt;"",R278&lt;&gt;""),"COMPLETE","MISSING FIELDS"))</f>
        <v/>
      </c>
    </row>
    <row r="279" ht="15" customHeight="1" s="15">
      <c r="A279" s="27" t="n"/>
      <c r="B279" s="27" t="n"/>
      <c r="C279" s="27" t="n"/>
      <c r="D279" s="27" t="n"/>
      <c r="E279" s="27" t="n"/>
      <c r="F279" s="27" t="n"/>
      <c r="G279" s="27" t="n"/>
      <c r="H279" s="27" t="n"/>
      <c r="I279" s="27" t="n"/>
      <c r="J279" s="27" t="n"/>
      <c r="K279" s="27" t="n"/>
      <c r="L279" s="27" t="n"/>
      <c r="M279" s="27" t="n"/>
      <c r="N279" s="27" t="n"/>
      <c r="O279" s="27" t="n"/>
      <c r="P279" s="27" t="n"/>
      <c r="Q279" s="27" t="n"/>
      <c r="R279" s="27" t="n"/>
      <c r="S279" s="27" t="n"/>
      <c r="T279" s="27" t="n"/>
      <c r="U279" s="28">
        <f>IF(A279="","",IF(COUNTIF($B$5:$B$304,B279)&gt;1,"DUPLICATE","UNIQUE"))</f>
        <v/>
      </c>
      <c r="V279" s="28">
        <f>IF(A279="","",IF(AND(B279&lt;&gt;"",C279&lt;&gt;"",D279&lt;&gt;"",E279&lt;&gt;"",F279&lt;&gt;"",G279&lt;&gt;"",H279&lt;&gt;"",J279&lt;&gt;"",K279&lt;&gt;"",L279&lt;&gt;"",M279&lt;&gt;"",O279&lt;&gt;"",P279&lt;&gt;"",R279&lt;&gt;""),"COMPLETE","MISSING FIELDS"))</f>
        <v/>
      </c>
    </row>
    <row r="280" ht="15" customHeight="1" s="15">
      <c r="A280" s="27" t="n"/>
      <c r="B280" s="27" t="n"/>
      <c r="C280" s="27" t="n"/>
      <c r="D280" s="27" t="n"/>
      <c r="E280" s="27" t="n"/>
      <c r="F280" s="27" t="n"/>
      <c r="G280" s="27" t="n"/>
      <c r="H280" s="27" t="n"/>
      <c r="I280" s="27" t="n"/>
      <c r="J280" s="27" t="n"/>
      <c r="K280" s="27" t="n"/>
      <c r="L280" s="27" t="n"/>
      <c r="M280" s="27" t="n"/>
      <c r="N280" s="27" t="n"/>
      <c r="O280" s="27" t="n"/>
      <c r="P280" s="27" t="n"/>
      <c r="Q280" s="27" t="n"/>
      <c r="R280" s="27" t="n"/>
      <c r="S280" s="27" t="n"/>
      <c r="T280" s="27" t="n"/>
      <c r="U280" s="28">
        <f>IF(A280="","",IF(COUNTIF($B$5:$B$304,B280)&gt;1,"DUPLICATE","UNIQUE"))</f>
        <v/>
      </c>
      <c r="V280" s="28">
        <f>IF(A280="","",IF(AND(B280&lt;&gt;"",C280&lt;&gt;"",D280&lt;&gt;"",E280&lt;&gt;"",F280&lt;&gt;"",G280&lt;&gt;"",H280&lt;&gt;"",J280&lt;&gt;"",K280&lt;&gt;"",L280&lt;&gt;"",M280&lt;&gt;"",O280&lt;&gt;"",P280&lt;&gt;"",R280&lt;&gt;""),"COMPLETE","MISSING FIELDS"))</f>
        <v/>
      </c>
    </row>
    <row r="281" ht="15" customHeight="1" s="15">
      <c r="A281" s="27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  <c r="T281" s="27" t="n"/>
      <c r="U281" s="28">
        <f>IF(A281="","",IF(COUNTIF($B$5:$B$304,B281)&gt;1,"DUPLICATE","UNIQUE"))</f>
        <v/>
      </c>
      <c r="V281" s="28">
        <f>IF(A281="","",IF(AND(B281&lt;&gt;"",C281&lt;&gt;"",D281&lt;&gt;"",E281&lt;&gt;"",F281&lt;&gt;"",G281&lt;&gt;"",H281&lt;&gt;"",J281&lt;&gt;"",K281&lt;&gt;"",L281&lt;&gt;"",M281&lt;&gt;"",O281&lt;&gt;"",P281&lt;&gt;"",R281&lt;&gt;""),"COMPLETE","MISSING FIELDS"))</f>
        <v/>
      </c>
    </row>
    <row r="282" ht="15" customHeight="1" s="15">
      <c r="A282" s="27" t="n"/>
      <c r="B282" s="27" t="n"/>
      <c r="C282" s="27" t="n"/>
      <c r="D282" s="27" t="n"/>
      <c r="E282" s="27" t="n"/>
      <c r="F282" s="27" t="n"/>
      <c r="G282" s="27" t="n"/>
      <c r="H282" s="27" t="n"/>
      <c r="I282" s="27" t="n"/>
      <c r="J282" s="27" t="n"/>
      <c r="K282" s="27" t="n"/>
      <c r="L282" s="27" t="n"/>
      <c r="M282" s="27" t="n"/>
      <c r="N282" s="27" t="n"/>
      <c r="O282" s="27" t="n"/>
      <c r="P282" s="27" t="n"/>
      <c r="Q282" s="27" t="n"/>
      <c r="R282" s="27" t="n"/>
      <c r="S282" s="27" t="n"/>
      <c r="T282" s="27" t="n"/>
      <c r="U282" s="28">
        <f>IF(A282="","",IF(COUNTIF($B$5:$B$304,B282)&gt;1,"DUPLICATE","UNIQUE"))</f>
        <v/>
      </c>
      <c r="V282" s="28">
        <f>IF(A282="","",IF(AND(B282&lt;&gt;"",C282&lt;&gt;"",D282&lt;&gt;"",E282&lt;&gt;"",F282&lt;&gt;"",G282&lt;&gt;"",H282&lt;&gt;"",J282&lt;&gt;"",K282&lt;&gt;"",L282&lt;&gt;"",M282&lt;&gt;"",O282&lt;&gt;"",P282&lt;&gt;"",R282&lt;&gt;""),"COMPLETE","MISSING FIELDS"))</f>
        <v/>
      </c>
    </row>
    <row r="283" ht="15" customHeight="1" s="15">
      <c r="A283" s="27" t="n"/>
      <c r="B283" s="27" t="n"/>
      <c r="C283" s="27" t="n"/>
      <c r="D283" s="27" t="n"/>
      <c r="E283" s="27" t="n"/>
      <c r="F283" s="27" t="n"/>
      <c r="G283" s="27" t="n"/>
      <c r="H283" s="27" t="n"/>
      <c r="I283" s="27" t="n"/>
      <c r="J283" s="27" t="n"/>
      <c r="K283" s="27" t="n"/>
      <c r="L283" s="27" t="n"/>
      <c r="M283" s="27" t="n"/>
      <c r="N283" s="27" t="n"/>
      <c r="O283" s="27" t="n"/>
      <c r="P283" s="27" t="n"/>
      <c r="Q283" s="27" t="n"/>
      <c r="R283" s="27" t="n"/>
      <c r="S283" s="27" t="n"/>
      <c r="T283" s="27" t="n"/>
      <c r="U283" s="28">
        <f>IF(A283="","",IF(COUNTIF($B$5:$B$304,B283)&gt;1,"DUPLICATE","UNIQUE"))</f>
        <v/>
      </c>
      <c r="V283" s="28">
        <f>IF(A283="","",IF(AND(B283&lt;&gt;"",C283&lt;&gt;"",D283&lt;&gt;"",E283&lt;&gt;"",F283&lt;&gt;"",G283&lt;&gt;"",H283&lt;&gt;"",J283&lt;&gt;"",K283&lt;&gt;"",L283&lt;&gt;"",M283&lt;&gt;"",O283&lt;&gt;"",P283&lt;&gt;"",R283&lt;&gt;""),"COMPLETE","MISSING FIELDS"))</f>
        <v/>
      </c>
    </row>
    <row r="284" ht="15" customHeight="1" s="15">
      <c r="A284" s="27" t="n"/>
      <c r="B284" s="27" t="n"/>
      <c r="C284" s="27" t="n"/>
      <c r="D284" s="27" t="n"/>
      <c r="E284" s="27" t="n"/>
      <c r="F284" s="27" t="n"/>
      <c r="G284" s="27" t="n"/>
      <c r="H284" s="27" t="n"/>
      <c r="I284" s="27" t="n"/>
      <c r="J284" s="27" t="n"/>
      <c r="K284" s="27" t="n"/>
      <c r="L284" s="27" t="n"/>
      <c r="M284" s="27" t="n"/>
      <c r="N284" s="27" t="n"/>
      <c r="O284" s="27" t="n"/>
      <c r="P284" s="27" t="n"/>
      <c r="Q284" s="27" t="n"/>
      <c r="R284" s="27" t="n"/>
      <c r="S284" s="27" t="n"/>
      <c r="T284" s="27" t="n"/>
      <c r="U284" s="28">
        <f>IF(A284="","",IF(COUNTIF($B$5:$B$304,B284)&gt;1,"DUPLICATE","UNIQUE"))</f>
        <v/>
      </c>
      <c r="V284" s="28">
        <f>IF(A284="","",IF(AND(B284&lt;&gt;"",C284&lt;&gt;"",D284&lt;&gt;"",E284&lt;&gt;"",F284&lt;&gt;"",G284&lt;&gt;"",H284&lt;&gt;"",J284&lt;&gt;"",K284&lt;&gt;"",L284&lt;&gt;"",M284&lt;&gt;"",O284&lt;&gt;"",P284&lt;&gt;"",R284&lt;&gt;""),"COMPLETE","MISSING FIELDS"))</f>
        <v/>
      </c>
    </row>
    <row r="285" ht="15" customHeight="1" s="15">
      <c r="A285" s="27" t="n"/>
      <c r="B285" s="27" t="n"/>
      <c r="C285" s="27" t="n"/>
      <c r="D285" s="27" t="n"/>
      <c r="E285" s="27" t="n"/>
      <c r="F285" s="27" t="n"/>
      <c r="G285" s="27" t="n"/>
      <c r="H285" s="27" t="n"/>
      <c r="I285" s="27" t="n"/>
      <c r="J285" s="27" t="n"/>
      <c r="K285" s="27" t="n"/>
      <c r="L285" s="27" t="n"/>
      <c r="M285" s="27" t="n"/>
      <c r="N285" s="27" t="n"/>
      <c r="O285" s="27" t="n"/>
      <c r="P285" s="27" t="n"/>
      <c r="Q285" s="27" t="n"/>
      <c r="R285" s="27" t="n"/>
      <c r="S285" s="27" t="n"/>
      <c r="T285" s="27" t="n"/>
      <c r="U285" s="28">
        <f>IF(A285="","",IF(COUNTIF($B$5:$B$304,B285)&gt;1,"DUPLICATE","UNIQUE"))</f>
        <v/>
      </c>
      <c r="V285" s="28">
        <f>IF(A285="","",IF(AND(B285&lt;&gt;"",C285&lt;&gt;"",D285&lt;&gt;"",E285&lt;&gt;"",F285&lt;&gt;"",G285&lt;&gt;"",H285&lt;&gt;"",J285&lt;&gt;"",K285&lt;&gt;"",L285&lt;&gt;"",M285&lt;&gt;"",O285&lt;&gt;"",P285&lt;&gt;"",R285&lt;&gt;""),"COMPLETE","MISSING FIELDS"))</f>
        <v/>
      </c>
    </row>
    <row r="286" ht="15" customHeight="1" s="15">
      <c r="A286" s="27" t="n"/>
      <c r="B286" s="27" t="n"/>
      <c r="C286" s="27" t="n"/>
      <c r="D286" s="27" t="n"/>
      <c r="E286" s="27" t="n"/>
      <c r="F286" s="27" t="n"/>
      <c r="G286" s="27" t="n"/>
      <c r="H286" s="27" t="n"/>
      <c r="I286" s="27" t="n"/>
      <c r="J286" s="27" t="n"/>
      <c r="K286" s="27" t="n"/>
      <c r="L286" s="27" t="n"/>
      <c r="M286" s="27" t="n"/>
      <c r="N286" s="27" t="n"/>
      <c r="O286" s="27" t="n"/>
      <c r="P286" s="27" t="n"/>
      <c r="Q286" s="27" t="n"/>
      <c r="R286" s="27" t="n"/>
      <c r="S286" s="27" t="n"/>
      <c r="T286" s="27" t="n"/>
      <c r="U286" s="28">
        <f>IF(A286="","",IF(COUNTIF($B$5:$B$304,B286)&gt;1,"DUPLICATE","UNIQUE"))</f>
        <v/>
      </c>
      <c r="V286" s="28">
        <f>IF(A286="","",IF(AND(B286&lt;&gt;"",C286&lt;&gt;"",D286&lt;&gt;"",E286&lt;&gt;"",F286&lt;&gt;"",G286&lt;&gt;"",H286&lt;&gt;"",J286&lt;&gt;"",K286&lt;&gt;"",L286&lt;&gt;"",M286&lt;&gt;"",O286&lt;&gt;"",P286&lt;&gt;"",R286&lt;&gt;""),"COMPLETE","MISSING FIELDS"))</f>
        <v/>
      </c>
    </row>
    <row r="287" ht="15" customHeight="1" s="15">
      <c r="A287" s="27" t="n"/>
      <c r="B287" s="27" t="n"/>
      <c r="C287" s="27" t="n"/>
      <c r="D287" s="27" t="n"/>
      <c r="E287" s="27" t="n"/>
      <c r="F287" s="27" t="n"/>
      <c r="G287" s="27" t="n"/>
      <c r="H287" s="27" t="n"/>
      <c r="I287" s="27" t="n"/>
      <c r="J287" s="27" t="n"/>
      <c r="K287" s="27" t="n"/>
      <c r="L287" s="27" t="n"/>
      <c r="M287" s="27" t="n"/>
      <c r="N287" s="27" t="n"/>
      <c r="O287" s="27" t="n"/>
      <c r="P287" s="27" t="n"/>
      <c r="Q287" s="27" t="n"/>
      <c r="R287" s="27" t="n"/>
      <c r="S287" s="27" t="n"/>
      <c r="T287" s="27" t="n"/>
      <c r="U287" s="28">
        <f>IF(A287="","",IF(COUNTIF($B$5:$B$304,B287)&gt;1,"DUPLICATE","UNIQUE"))</f>
        <v/>
      </c>
      <c r="V287" s="28">
        <f>IF(A287="","",IF(AND(B287&lt;&gt;"",C287&lt;&gt;"",D287&lt;&gt;"",E287&lt;&gt;"",F287&lt;&gt;"",G287&lt;&gt;"",H287&lt;&gt;"",J287&lt;&gt;"",K287&lt;&gt;"",L287&lt;&gt;"",M287&lt;&gt;"",O287&lt;&gt;"",P287&lt;&gt;"",R287&lt;&gt;""),"COMPLETE","MISSING FIELDS"))</f>
        <v/>
      </c>
    </row>
    <row r="288" ht="15" customHeight="1" s="15">
      <c r="A288" s="27" t="n"/>
      <c r="B288" s="27" t="n"/>
      <c r="C288" s="27" t="n"/>
      <c r="D288" s="27" t="n"/>
      <c r="E288" s="27" t="n"/>
      <c r="F288" s="27" t="n"/>
      <c r="G288" s="27" t="n"/>
      <c r="H288" s="27" t="n"/>
      <c r="I288" s="27" t="n"/>
      <c r="J288" s="27" t="n"/>
      <c r="K288" s="27" t="n"/>
      <c r="L288" s="27" t="n"/>
      <c r="M288" s="27" t="n"/>
      <c r="N288" s="27" t="n"/>
      <c r="O288" s="27" t="n"/>
      <c r="P288" s="27" t="n"/>
      <c r="Q288" s="27" t="n"/>
      <c r="R288" s="27" t="n"/>
      <c r="S288" s="27" t="n"/>
      <c r="T288" s="27" t="n"/>
      <c r="U288" s="28">
        <f>IF(A288="","",IF(COUNTIF($B$5:$B$304,B288)&gt;1,"DUPLICATE","UNIQUE"))</f>
        <v/>
      </c>
      <c r="V288" s="28">
        <f>IF(A288="","",IF(AND(B288&lt;&gt;"",C288&lt;&gt;"",D288&lt;&gt;"",E288&lt;&gt;"",F288&lt;&gt;"",G288&lt;&gt;"",H288&lt;&gt;"",J288&lt;&gt;"",K288&lt;&gt;"",L288&lt;&gt;"",M288&lt;&gt;"",O288&lt;&gt;"",P288&lt;&gt;"",R288&lt;&gt;""),"COMPLETE","MISSING FIELDS"))</f>
        <v/>
      </c>
    </row>
    <row r="289" ht="15" customHeight="1" s="15">
      <c r="A289" s="27" t="n"/>
      <c r="B289" s="27" t="n"/>
      <c r="C289" s="27" t="n"/>
      <c r="D289" s="27" t="n"/>
      <c r="E289" s="27" t="n"/>
      <c r="F289" s="27" t="n"/>
      <c r="G289" s="27" t="n"/>
      <c r="H289" s="27" t="n"/>
      <c r="I289" s="27" t="n"/>
      <c r="J289" s="27" t="n"/>
      <c r="K289" s="27" t="n"/>
      <c r="L289" s="27" t="n"/>
      <c r="M289" s="27" t="n"/>
      <c r="N289" s="27" t="n"/>
      <c r="O289" s="27" t="n"/>
      <c r="P289" s="27" t="n"/>
      <c r="Q289" s="27" t="n"/>
      <c r="R289" s="27" t="n"/>
      <c r="S289" s="27" t="n"/>
      <c r="T289" s="27" t="n"/>
      <c r="U289" s="28">
        <f>IF(A289="","",IF(COUNTIF($B$5:$B$304,B289)&gt;1,"DUPLICATE","UNIQUE"))</f>
        <v/>
      </c>
      <c r="V289" s="28">
        <f>IF(A289="","",IF(AND(B289&lt;&gt;"",C289&lt;&gt;"",D289&lt;&gt;"",E289&lt;&gt;"",F289&lt;&gt;"",G289&lt;&gt;"",H289&lt;&gt;"",J289&lt;&gt;"",K289&lt;&gt;"",L289&lt;&gt;"",M289&lt;&gt;"",O289&lt;&gt;"",P289&lt;&gt;"",R289&lt;&gt;""),"COMPLETE","MISSING FIELDS"))</f>
        <v/>
      </c>
    </row>
    <row r="290" ht="15" customHeight="1" s="15">
      <c r="A290" s="27" t="n"/>
      <c r="B290" s="27" t="n"/>
      <c r="C290" s="27" t="n"/>
      <c r="D290" s="27" t="n"/>
      <c r="E290" s="27" t="n"/>
      <c r="F290" s="27" t="n"/>
      <c r="G290" s="27" t="n"/>
      <c r="H290" s="27" t="n"/>
      <c r="I290" s="27" t="n"/>
      <c r="J290" s="27" t="n"/>
      <c r="K290" s="27" t="n"/>
      <c r="L290" s="27" t="n"/>
      <c r="M290" s="27" t="n"/>
      <c r="N290" s="27" t="n"/>
      <c r="O290" s="27" t="n"/>
      <c r="P290" s="27" t="n"/>
      <c r="Q290" s="27" t="n"/>
      <c r="R290" s="27" t="n"/>
      <c r="S290" s="27" t="n"/>
      <c r="T290" s="27" t="n"/>
      <c r="U290" s="28">
        <f>IF(A290="","",IF(COUNTIF($B$5:$B$304,B290)&gt;1,"DUPLICATE","UNIQUE"))</f>
        <v/>
      </c>
      <c r="V290" s="28">
        <f>IF(A290="","",IF(AND(B290&lt;&gt;"",C290&lt;&gt;"",D290&lt;&gt;"",E290&lt;&gt;"",F290&lt;&gt;"",G290&lt;&gt;"",H290&lt;&gt;"",J290&lt;&gt;"",K290&lt;&gt;"",L290&lt;&gt;"",M290&lt;&gt;"",O290&lt;&gt;"",P290&lt;&gt;"",R290&lt;&gt;""),"COMPLETE","MISSING FIELDS"))</f>
        <v/>
      </c>
    </row>
    <row r="291" ht="15" customHeight="1" s="15">
      <c r="A291" s="27" t="n"/>
      <c r="B291" s="27" t="n"/>
      <c r="C291" s="27" t="n"/>
      <c r="D291" s="27" t="n"/>
      <c r="E291" s="27" t="n"/>
      <c r="F291" s="27" t="n"/>
      <c r="G291" s="27" t="n"/>
      <c r="H291" s="27" t="n"/>
      <c r="I291" s="27" t="n"/>
      <c r="J291" s="27" t="n"/>
      <c r="K291" s="27" t="n"/>
      <c r="L291" s="27" t="n"/>
      <c r="M291" s="27" t="n"/>
      <c r="N291" s="27" t="n"/>
      <c r="O291" s="27" t="n"/>
      <c r="P291" s="27" t="n"/>
      <c r="Q291" s="27" t="n"/>
      <c r="R291" s="27" t="n"/>
      <c r="S291" s="27" t="n"/>
      <c r="T291" s="27" t="n"/>
      <c r="U291" s="28">
        <f>IF(A291="","",IF(COUNTIF($B$5:$B$304,B291)&gt;1,"DUPLICATE","UNIQUE"))</f>
        <v/>
      </c>
      <c r="V291" s="28">
        <f>IF(A291="","",IF(AND(B291&lt;&gt;"",C291&lt;&gt;"",D291&lt;&gt;"",E291&lt;&gt;"",F291&lt;&gt;"",G291&lt;&gt;"",H291&lt;&gt;"",J291&lt;&gt;"",K291&lt;&gt;"",L291&lt;&gt;"",M291&lt;&gt;"",O291&lt;&gt;"",P291&lt;&gt;"",R291&lt;&gt;""),"COMPLETE","MISSING FIELDS"))</f>
        <v/>
      </c>
    </row>
    <row r="292" ht="15" customHeight="1" s="15">
      <c r="A292" s="27" t="n"/>
      <c r="B292" s="27" t="n"/>
      <c r="C292" s="27" t="n"/>
      <c r="D292" s="27" t="n"/>
      <c r="E292" s="27" t="n"/>
      <c r="F292" s="27" t="n"/>
      <c r="G292" s="27" t="n"/>
      <c r="H292" s="27" t="n"/>
      <c r="I292" s="27" t="n"/>
      <c r="J292" s="27" t="n"/>
      <c r="K292" s="27" t="n"/>
      <c r="L292" s="27" t="n"/>
      <c r="M292" s="27" t="n"/>
      <c r="N292" s="27" t="n"/>
      <c r="O292" s="27" t="n"/>
      <c r="P292" s="27" t="n"/>
      <c r="Q292" s="27" t="n"/>
      <c r="R292" s="27" t="n"/>
      <c r="S292" s="27" t="n"/>
      <c r="T292" s="27" t="n"/>
      <c r="U292" s="28">
        <f>IF(A292="","",IF(COUNTIF($B$5:$B$304,B292)&gt;1,"DUPLICATE","UNIQUE"))</f>
        <v/>
      </c>
      <c r="V292" s="28">
        <f>IF(A292="","",IF(AND(B292&lt;&gt;"",C292&lt;&gt;"",D292&lt;&gt;"",E292&lt;&gt;"",F292&lt;&gt;"",G292&lt;&gt;"",H292&lt;&gt;"",J292&lt;&gt;"",K292&lt;&gt;"",L292&lt;&gt;"",M292&lt;&gt;"",O292&lt;&gt;"",P292&lt;&gt;"",R292&lt;&gt;""),"COMPLETE","MISSING FIELDS"))</f>
        <v/>
      </c>
    </row>
    <row r="293" ht="15" customHeight="1" s="15">
      <c r="A293" s="27" t="n"/>
      <c r="B293" s="27" t="n"/>
      <c r="C293" s="27" t="n"/>
      <c r="D293" s="27" t="n"/>
      <c r="E293" s="27" t="n"/>
      <c r="F293" s="27" t="n"/>
      <c r="G293" s="27" t="n"/>
      <c r="H293" s="27" t="n"/>
      <c r="I293" s="27" t="n"/>
      <c r="J293" s="27" t="n"/>
      <c r="K293" s="27" t="n"/>
      <c r="L293" s="27" t="n"/>
      <c r="M293" s="27" t="n"/>
      <c r="N293" s="27" t="n"/>
      <c r="O293" s="27" t="n"/>
      <c r="P293" s="27" t="n"/>
      <c r="Q293" s="27" t="n"/>
      <c r="R293" s="27" t="n"/>
      <c r="S293" s="27" t="n"/>
      <c r="T293" s="27" t="n"/>
      <c r="U293" s="28">
        <f>IF(A293="","",IF(COUNTIF($B$5:$B$304,B293)&gt;1,"DUPLICATE","UNIQUE"))</f>
        <v/>
      </c>
      <c r="V293" s="28">
        <f>IF(A293="","",IF(AND(B293&lt;&gt;"",C293&lt;&gt;"",D293&lt;&gt;"",E293&lt;&gt;"",F293&lt;&gt;"",G293&lt;&gt;"",H293&lt;&gt;"",J293&lt;&gt;"",K293&lt;&gt;"",L293&lt;&gt;"",M293&lt;&gt;"",O293&lt;&gt;"",P293&lt;&gt;"",R293&lt;&gt;""),"COMPLETE","MISSING FIELDS"))</f>
        <v/>
      </c>
    </row>
    <row r="294" ht="15" customHeight="1" s="15">
      <c r="A294" s="27" t="n"/>
      <c r="B294" s="27" t="n"/>
      <c r="C294" s="27" t="n"/>
      <c r="D294" s="27" t="n"/>
      <c r="E294" s="27" t="n"/>
      <c r="F294" s="27" t="n"/>
      <c r="G294" s="27" t="n"/>
      <c r="H294" s="27" t="n"/>
      <c r="I294" s="27" t="n"/>
      <c r="J294" s="27" t="n"/>
      <c r="K294" s="27" t="n"/>
      <c r="L294" s="27" t="n"/>
      <c r="M294" s="27" t="n"/>
      <c r="N294" s="27" t="n"/>
      <c r="O294" s="27" t="n"/>
      <c r="P294" s="27" t="n"/>
      <c r="Q294" s="27" t="n"/>
      <c r="R294" s="27" t="n"/>
      <c r="S294" s="27" t="n"/>
      <c r="T294" s="27" t="n"/>
      <c r="U294" s="28">
        <f>IF(A294="","",IF(COUNTIF($B$5:$B$304,B294)&gt;1,"DUPLICATE","UNIQUE"))</f>
        <v/>
      </c>
      <c r="V294" s="28">
        <f>IF(A294="","",IF(AND(B294&lt;&gt;"",C294&lt;&gt;"",D294&lt;&gt;"",E294&lt;&gt;"",F294&lt;&gt;"",G294&lt;&gt;"",H294&lt;&gt;"",J294&lt;&gt;"",K294&lt;&gt;"",L294&lt;&gt;"",M294&lt;&gt;"",O294&lt;&gt;"",P294&lt;&gt;"",R294&lt;&gt;""),"COMPLETE","MISSING FIELDS"))</f>
        <v/>
      </c>
    </row>
    <row r="295" ht="15" customHeight="1" s="15">
      <c r="A295" s="27" t="n"/>
      <c r="B295" s="27" t="n"/>
      <c r="C295" s="27" t="n"/>
      <c r="D295" s="27" t="n"/>
      <c r="E295" s="27" t="n"/>
      <c r="F295" s="27" t="n"/>
      <c r="G295" s="27" t="n"/>
      <c r="H295" s="27" t="n"/>
      <c r="I295" s="27" t="n"/>
      <c r="J295" s="27" t="n"/>
      <c r="K295" s="27" t="n"/>
      <c r="L295" s="27" t="n"/>
      <c r="M295" s="27" t="n"/>
      <c r="N295" s="27" t="n"/>
      <c r="O295" s="27" t="n"/>
      <c r="P295" s="27" t="n"/>
      <c r="Q295" s="27" t="n"/>
      <c r="R295" s="27" t="n"/>
      <c r="S295" s="27" t="n"/>
      <c r="T295" s="27" t="n"/>
      <c r="U295" s="28">
        <f>IF(A295="","",IF(COUNTIF($B$5:$B$304,B295)&gt;1,"DUPLICATE","UNIQUE"))</f>
        <v/>
      </c>
      <c r="V295" s="28">
        <f>IF(A295="","",IF(AND(B295&lt;&gt;"",C295&lt;&gt;"",D295&lt;&gt;"",E295&lt;&gt;"",F295&lt;&gt;"",G295&lt;&gt;"",H295&lt;&gt;"",J295&lt;&gt;"",K295&lt;&gt;"",L295&lt;&gt;"",M295&lt;&gt;"",O295&lt;&gt;"",P295&lt;&gt;"",R295&lt;&gt;""),"COMPLETE","MISSING FIELDS"))</f>
        <v/>
      </c>
    </row>
    <row r="296" ht="15" customHeight="1" s="15">
      <c r="A296" s="27" t="n"/>
      <c r="B296" s="27" t="n"/>
      <c r="C296" s="27" t="n"/>
      <c r="D296" s="27" t="n"/>
      <c r="E296" s="27" t="n"/>
      <c r="F296" s="27" t="n"/>
      <c r="G296" s="27" t="n"/>
      <c r="H296" s="27" t="n"/>
      <c r="I296" s="27" t="n"/>
      <c r="J296" s="27" t="n"/>
      <c r="K296" s="27" t="n"/>
      <c r="L296" s="27" t="n"/>
      <c r="M296" s="27" t="n"/>
      <c r="N296" s="27" t="n"/>
      <c r="O296" s="27" t="n"/>
      <c r="P296" s="27" t="n"/>
      <c r="Q296" s="27" t="n"/>
      <c r="R296" s="27" t="n"/>
      <c r="S296" s="27" t="n"/>
      <c r="T296" s="27" t="n"/>
      <c r="U296" s="28">
        <f>IF(A296="","",IF(COUNTIF($B$5:$B$304,B296)&gt;1,"DUPLICATE","UNIQUE"))</f>
        <v/>
      </c>
      <c r="V296" s="28">
        <f>IF(A296="","",IF(AND(B296&lt;&gt;"",C296&lt;&gt;"",D296&lt;&gt;"",E296&lt;&gt;"",F296&lt;&gt;"",G296&lt;&gt;"",H296&lt;&gt;"",J296&lt;&gt;"",K296&lt;&gt;"",L296&lt;&gt;"",M296&lt;&gt;"",O296&lt;&gt;"",P296&lt;&gt;"",R296&lt;&gt;""),"COMPLETE","MISSING FIELDS"))</f>
        <v/>
      </c>
    </row>
    <row r="297" ht="15" customHeight="1" s="15">
      <c r="A297" s="27" t="n"/>
      <c r="B297" s="27" t="n"/>
      <c r="C297" s="27" t="n"/>
      <c r="D297" s="27" t="n"/>
      <c r="E297" s="27" t="n"/>
      <c r="F297" s="27" t="n"/>
      <c r="G297" s="27" t="n"/>
      <c r="H297" s="27" t="n"/>
      <c r="I297" s="27" t="n"/>
      <c r="J297" s="27" t="n"/>
      <c r="K297" s="27" t="n"/>
      <c r="L297" s="27" t="n"/>
      <c r="M297" s="27" t="n"/>
      <c r="N297" s="27" t="n"/>
      <c r="O297" s="27" t="n"/>
      <c r="P297" s="27" t="n"/>
      <c r="Q297" s="27" t="n"/>
      <c r="R297" s="27" t="n"/>
      <c r="S297" s="27" t="n"/>
      <c r="T297" s="27" t="n"/>
      <c r="U297" s="28">
        <f>IF(A297="","",IF(COUNTIF($B$5:$B$304,B297)&gt;1,"DUPLICATE","UNIQUE"))</f>
        <v/>
      </c>
      <c r="V297" s="28">
        <f>IF(A297="","",IF(AND(B297&lt;&gt;"",C297&lt;&gt;"",D297&lt;&gt;"",E297&lt;&gt;"",F297&lt;&gt;"",G297&lt;&gt;"",H297&lt;&gt;"",J297&lt;&gt;"",K297&lt;&gt;"",L297&lt;&gt;"",M297&lt;&gt;"",O297&lt;&gt;"",P297&lt;&gt;"",R297&lt;&gt;""),"COMPLETE","MISSING FIELDS"))</f>
        <v/>
      </c>
    </row>
    <row r="298" ht="15" customHeight="1" s="15">
      <c r="A298" s="27" t="n"/>
      <c r="B298" s="27" t="n"/>
      <c r="C298" s="27" t="n"/>
      <c r="D298" s="27" t="n"/>
      <c r="E298" s="27" t="n"/>
      <c r="F298" s="27" t="n"/>
      <c r="G298" s="27" t="n"/>
      <c r="H298" s="27" t="n"/>
      <c r="I298" s="27" t="n"/>
      <c r="J298" s="27" t="n"/>
      <c r="K298" s="27" t="n"/>
      <c r="L298" s="27" t="n"/>
      <c r="M298" s="27" t="n"/>
      <c r="N298" s="27" t="n"/>
      <c r="O298" s="27" t="n"/>
      <c r="P298" s="27" t="n"/>
      <c r="Q298" s="27" t="n"/>
      <c r="R298" s="27" t="n"/>
      <c r="S298" s="27" t="n"/>
      <c r="T298" s="27" t="n"/>
      <c r="U298" s="28">
        <f>IF(A298="","",IF(COUNTIF($B$5:$B$304,B298)&gt;1,"DUPLICATE","UNIQUE"))</f>
        <v/>
      </c>
      <c r="V298" s="28">
        <f>IF(A298="","",IF(AND(B298&lt;&gt;"",C298&lt;&gt;"",D298&lt;&gt;"",E298&lt;&gt;"",F298&lt;&gt;"",G298&lt;&gt;"",H298&lt;&gt;"",J298&lt;&gt;"",K298&lt;&gt;"",L298&lt;&gt;"",M298&lt;&gt;"",O298&lt;&gt;"",P298&lt;&gt;"",R298&lt;&gt;""),"COMPLETE","MISSING FIELDS"))</f>
        <v/>
      </c>
    </row>
    <row r="299" ht="15" customHeight="1" s="15">
      <c r="A299" s="27" t="n"/>
      <c r="B299" s="27" t="n"/>
      <c r="C299" s="27" t="n"/>
      <c r="D299" s="27" t="n"/>
      <c r="E299" s="27" t="n"/>
      <c r="F299" s="27" t="n"/>
      <c r="G299" s="27" t="n"/>
      <c r="H299" s="27" t="n"/>
      <c r="I299" s="27" t="n"/>
      <c r="J299" s="27" t="n"/>
      <c r="K299" s="27" t="n"/>
      <c r="L299" s="27" t="n"/>
      <c r="M299" s="27" t="n"/>
      <c r="N299" s="27" t="n"/>
      <c r="O299" s="27" t="n"/>
      <c r="P299" s="27" t="n"/>
      <c r="Q299" s="27" t="n"/>
      <c r="R299" s="27" t="n"/>
      <c r="S299" s="27" t="n"/>
      <c r="T299" s="27" t="n"/>
      <c r="U299" s="28">
        <f>IF(A299="","",IF(COUNTIF($B$5:$B$304,B299)&gt;1,"DUPLICATE","UNIQUE"))</f>
        <v/>
      </c>
      <c r="V299" s="28">
        <f>IF(A299="","",IF(AND(B299&lt;&gt;"",C299&lt;&gt;"",D299&lt;&gt;"",E299&lt;&gt;"",F299&lt;&gt;"",G299&lt;&gt;"",H299&lt;&gt;"",J299&lt;&gt;"",K299&lt;&gt;"",L299&lt;&gt;"",M299&lt;&gt;"",O299&lt;&gt;"",P299&lt;&gt;"",R299&lt;&gt;""),"COMPLETE","MISSING FIELDS"))</f>
        <v/>
      </c>
    </row>
    <row r="300" ht="15" customHeight="1" s="15">
      <c r="A300" s="27" t="n"/>
      <c r="B300" s="27" t="n"/>
      <c r="C300" s="27" t="n"/>
      <c r="D300" s="27" t="n"/>
      <c r="E300" s="27" t="n"/>
      <c r="F300" s="27" t="n"/>
      <c r="G300" s="27" t="n"/>
      <c r="H300" s="27" t="n"/>
      <c r="I300" s="27" t="n"/>
      <c r="J300" s="27" t="n"/>
      <c r="K300" s="27" t="n"/>
      <c r="L300" s="27" t="n"/>
      <c r="M300" s="27" t="n"/>
      <c r="N300" s="27" t="n"/>
      <c r="O300" s="27" t="n"/>
      <c r="P300" s="27" t="n"/>
      <c r="Q300" s="27" t="n"/>
      <c r="R300" s="27" t="n"/>
      <c r="S300" s="27" t="n"/>
      <c r="T300" s="27" t="n"/>
      <c r="U300" s="28">
        <f>IF(A300="","",IF(COUNTIF($B$5:$B$304,B300)&gt;1,"DUPLICATE","UNIQUE"))</f>
        <v/>
      </c>
      <c r="V300" s="28">
        <f>IF(A300="","",IF(AND(B300&lt;&gt;"",C300&lt;&gt;"",D300&lt;&gt;"",E300&lt;&gt;"",F300&lt;&gt;"",G300&lt;&gt;"",H300&lt;&gt;"",J300&lt;&gt;"",K300&lt;&gt;"",L300&lt;&gt;"",M300&lt;&gt;"",O300&lt;&gt;"",P300&lt;&gt;"",R300&lt;&gt;""),"COMPLETE","MISSING FIELDS"))</f>
        <v/>
      </c>
    </row>
    <row r="301" ht="15" customHeight="1" s="15">
      <c r="A301" s="27" t="n"/>
      <c r="B301" s="27" t="n"/>
      <c r="C301" s="27" t="n"/>
      <c r="D301" s="27" t="n"/>
      <c r="E301" s="27" t="n"/>
      <c r="F301" s="27" t="n"/>
      <c r="G301" s="27" t="n"/>
      <c r="H301" s="27" t="n"/>
      <c r="I301" s="27" t="n"/>
      <c r="J301" s="27" t="n"/>
      <c r="K301" s="27" t="n"/>
      <c r="L301" s="27" t="n"/>
      <c r="M301" s="27" t="n"/>
      <c r="N301" s="27" t="n"/>
      <c r="O301" s="27" t="n"/>
      <c r="P301" s="27" t="n"/>
      <c r="Q301" s="27" t="n"/>
      <c r="R301" s="27" t="n"/>
      <c r="S301" s="27" t="n"/>
      <c r="T301" s="27" t="n"/>
      <c r="U301" s="28">
        <f>IF(A301="","",IF(COUNTIF($B$5:$B$304,B301)&gt;1,"DUPLICATE","UNIQUE"))</f>
        <v/>
      </c>
      <c r="V301" s="28">
        <f>IF(A301="","",IF(AND(B301&lt;&gt;"",C301&lt;&gt;"",D301&lt;&gt;"",E301&lt;&gt;"",F301&lt;&gt;"",G301&lt;&gt;"",H301&lt;&gt;"",J301&lt;&gt;"",K301&lt;&gt;"",L301&lt;&gt;"",M301&lt;&gt;"",O301&lt;&gt;"",P301&lt;&gt;"",R301&lt;&gt;""),"COMPLETE","MISSING FIELDS"))</f>
        <v/>
      </c>
    </row>
    <row r="302" ht="15" customHeight="1" s="15">
      <c r="A302" s="27" t="n"/>
      <c r="B302" s="27" t="n"/>
      <c r="C302" s="27" t="n"/>
      <c r="D302" s="27" t="n"/>
      <c r="E302" s="27" t="n"/>
      <c r="F302" s="27" t="n"/>
      <c r="G302" s="27" t="n"/>
      <c r="H302" s="27" t="n"/>
      <c r="I302" s="27" t="n"/>
      <c r="J302" s="27" t="n"/>
      <c r="K302" s="27" t="n"/>
      <c r="L302" s="27" t="n"/>
      <c r="M302" s="27" t="n"/>
      <c r="N302" s="27" t="n"/>
      <c r="O302" s="27" t="n"/>
      <c r="P302" s="27" t="n"/>
      <c r="Q302" s="27" t="n"/>
      <c r="R302" s="27" t="n"/>
      <c r="S302" s="27" t="n"/>
      <c r="T302" s="27" t="n"/>
      <c r="U302" s="28">
        <f>IF(A302="","",IF(COUNTIF($B$5:$B$304,B302)&gt;1,"DUPLICATE","UNIQUE"))</f>
        <v/>
      </c>
      <c r="V302" s="28">
        <f>IF(A302="","",IF(AND(B302&lt;&gt;"",C302&lt;&gt;"",D302&lt;&gt;"",E302&lt;&gt;"",F302&lt;&gt;"",G302&lt;&gt;"",H302&lt;&gt;"",J302&lt;&gt;"",K302&lt;&gt;"",L302&lt;&gt;"",M302&lt;&gt;"",O302&lt;&gt;"",P302&lt;&gt;"",R302&lt;&gt;""),"COMPLETE","MISSING FIELDS"))</f>
        <v/>
      </c>
    </row>
    <row r="303" ht="15" customHeight="1" s="15">
      <c r="A303" s="27" t="n"/>
      <c r="B303" s="27" t="n"/>
      <c r="C303" s="27" t="n"/>
      <c r="D303" s="27" t="n"/>
      <c r="E303" s="27" t="n"/>
      <c r="F303" s="27" t="n"/>
      <c r="G303" s="27" t="n"/>
      <c r="H303" s="27" t="n"/>
      <c r="I303" s="27" t="n"/>
      <c r="J303" s="27" t="n"/>
      <c r="K303" s="27" t="n"/>
      <c r="L303" s="27" t="n"/>
      <c r="M303" s="27" t="n"/>
      <c r="N303" s="27" t="n"/>
      <c r="O303" s="27" t="n"/>
      <c r="P303" s="27" t="n"/>
      <c r="Q303" s="27" t="n"/>
      <c r="R303" s="27" t="n"/>
      <c r="S303" s="27" t="n"/>
      <c r="T303" s="27" t="n"/>
      <c r="U303" s="28">
        <f>IF(A303="","",IF(COUNTIF($B$5:$B$304,B303)&gt;1,"DUPLICATE","UNIQUE"))</f>
        <v/>
      </c>
      <c r="V303" s="28">
        <f>IF(A303="","",IF(AND(B303&lt;&gt;"",C303&lt;&gt;"",D303&lt;&gt;"",E303&lt;&gt;"",F303&lt;&gt;"",G303&lt;&gt;"",H303&lt;&gt;"",J303&lt;&gt;"",K303&lt;&gt;"",L303&lt;&gt;"",M303&lt;&gt;"",O303&lt;&gt;"",P303&lt;&gt;"",R303&lt;&gt;""),"COMPLETE","MISSING FIELDS"))</f>
        <v/>
      </c>
    </row>
    <row r="304" ht="15" customHeight="1" s="15">
      <c r="A304" s="27" t="n"/>
      <c r="B304" s="27" t="n"/>
      <c r="C304" s="27" t="n"/>
      <c r="D304" s="27" t="n"/>
      <c r="E304" s="27" t="n"/>
      <c r="F304" s="27" t="n"/>
      <c r="G304" s="27" t="n"/>
      <c r="H304" s="27" t="n"/>
      <c r="I304" s="27" t="n"/>
      <c r="J304" s="27" t="n"/>
      <c r="K304" s="27" t="n"/>
      <c r="L304" s="27" t="n"/>
      <c r="M304" s="27" t="n"/>
      <c r="N304" s="27" t="n"/>
      <c r="O304" s="27" t="n"/>
      <c r="P304" s="27" t="n"/>
      <c r="Q304" s="27" t="n"/>
      <c r="R304" s="27" t="n"/>
      <c r="S304" s="27" t="n"/>
      <c r="T304" s="27" t="n"/>
      <c r="U304" s="28">
        <f>IF(A304="","",IF(COUNTIF($B$5:$B$304,B304)&gt;1,"DUPLICATE","UNIQUE"))</f>
        <v/>
      </c>
      <c r="V304" s="28">
        <f>IF(A304="","",IF(AND(B304&lt;&gt;"",C304&lt;&gt;"",D304&lt;&gt;"",E304&lt;&gt;"",F304&lt;&gt;"",G304&lt;&gt;"",H304&lt;&gt;"",J304&lt;&gt;"",K304&lt;&gt;"",L304&lt;&gt;"",M304&lt;&gt;"",O304&lt;&gt;"",P304&lt;&gt;"",R304&lt;&gt;""),"COMPLETE","MISSING FIELDS"))</f>
        <v/>
      </c>
    </row>
  </sheetData>
  <mergeCells count="2">
    <mergeCell ref="A2:V2"/>
    <mergeCell ref="A1:V1"/>
  </mergeCells>
  <conditionalFormatting sqref="U5:V304">
    <cfRule type="expression" rank="0" priority="2" equalAverage="0" aboveAverage="0" dxfId="0" text="" percent="0" bottom="0">
      <formula>OR(U5="DUPLICATE",V5="MISSING FIELDS",V5="ADD REASON")</formula>
    </cfRule>
  </conditionalFormatting>
  <dataValidations count="9">
    <dataValidation sqref="C5:C304" showDropDown="0" showInputMessage="0" showErrorMessage="0" allowBlank="1" type="list" errorStyle="stop" operator="between">
      <formula1>"Informational,Comparison,Transactional,Navigational"</formula1>
      <formula2>0</formula2>
    </dataValidation>
    <dataValidation sqref="F5:F304" showDropDown="0" showInputMessage="0" showErrorMessage="0" allowBlank="1" type="list" errorStyle="stop" operator="between">
      <formula1>"US,GB,CA,AU,IN,SG,Other"</formula1>
      <formula2>0</formula2>
    </dataValidation>
    <dataValidation sqref="H5:H304" showDropDown="0" showInputMessage="0" showErrorMessage="0" allowBlank="1" type="list" errorStyle="stop" operator="between">
      <formula1>"Answer box,AI Overview,Both,None"</formula1>
      <formula2>0</formula2>
    </dataValidation>
    <dataValidation sqref="J5:J304" showDropDown="0" showInputMessage="0" showErrorMessage="0" allowBlank="1" type="list" errorStyle="stop" operator="between">
      <formula1>"Cited,Mentioned,Not mentioned"</formula1>
      <formula2>0</formula2>
    </dataValidation>
    <dataValidation sqref="K5:K304" showDropDown="0" showInputMessage="0" showErrorMessage="0" allowBlank="1" type="list" errorStyle="stop" operator="between">
      <formula1>"Cited,Mentioned,Not mentioned"</formula1>
      <formula2>0</formula2>
    </dataValidation>
    <dataValidation sqref="L5:L304" showDropDown="0" showInputMessage="0" showErrorMessage="0" allowBlank="1" type="list" errorStyle="stop" operator="between">
      <formula1>"Cited,Mentioned,Not mentioned"</formula1>
      <formula2>0</formula2>
    </dataValidation>
    <dataValidation sqref="M5:M304" showDropDown="0" showInputMessage="0" showErrorMessage="0" allowBlank="1" type="list" errorStyle="stop" operator="between">
      <formula1>"Cited,Mentioned,Not mentioned"</formula1>
      <formula2>0</formula2>
    </dataValidation>
    <dataValidation sqref="Q5:Q304" showDropDown="0" showInputMessage="0" showErrorMessage="0" allowBlank="1" type="list" errorStyle="stop" operator="between">
      <formula1>"Yes,No"</formula1>
      <formula2>0</formula2>
    </dataValidation>
    <dataValidation sqref="S5:S304" showDropDown="0" showInputMessage="0" showErrorMessage="0" allowBlank="1" type="list" errorStyle="stop" operator="between">
      <formula1>"High,Medium,Low"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L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14" min="1" max="1"/>
    <col width="30" customWidth="1" style="14" min="2" max="2"/>
    <col width="34" customWidth="1" style="14" min="3" max="3"/>
    <col width="30" customWidth="1" style="14" min="4" max="4"/>
    <col width="34" customWidth="1" style="14" min="5" max="5"/>
    <col width="30" customWidth="1" style="14" min="6" max="6"/>
    <col width="20" customWidth="1" style="14" min="7" max="7"/>
    <col width="10" customWidth="1" style="14" min="8" max="10"/>
    <col width="12" customWidth="1" style="14" min="11" max="11"/>
    <col width="14" customWidth="1" style="14" min="12" max="12"/>
  </cols>
  <sheetData>
    <row r="1" ht="24" customHeight="1" s="15">
      <c r="A1" s="16" t="inlineStr">
        <is>
          <t>Technical Fixes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8" t="n"/>
    </row>
    <row r="2" ht="31.5" customHeight="1" s="15">
      <c r="A2" s="19" t="inlineStr">
        <is>
          <t>20 fixes required. Code must pass a validator; link the validator result.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8" t="n"/>
    </row>
    <row r="4" ht="30" customHeight="1" s="15">
      <c r="A4" s="21" t="inlineStr">
        <is>
          <t>fix_id</t>
        </is>
      </c>
      <c r="B4" s="21" t="inlineStr">
        <is>
          <t>page_url</t>
        </is>
      </c>
      <c r="C4" s="21" t="inlineStr">
        <is>
          <t>problem</t>
        </is>
      </c>
      <c r="D4" s="21" t="inlineStr">
        <is>
          <t>evidence_url</t>
        </is>
      </c>
      <c r="E4" s="21" t="inlineStr">
        <is>
          <t>fix_summary</t>
        </is>
      </c>
      <c r="F4" s="21" t="inlineStr">
        <is>
          <t>code_or_text_url</t>
        </is>
      </c>
      <c r="G4" s="21" t="inlineStr">
        <is>
          <t>validator_used</t>
        </is>
      </c>
      <c r="H4" s="21" t="inlineStr">
        <is>
          <t>validated</t>
        </is>
      </c>
      <c r="I4" s="21" t="inlineStr">
        <is>
          <t>impact</t>
        </is>
      </c>
      <c r="J4" s="21" t="inlineStr">
        <is>
          <t>effort</t>
        </is>
      </c>
      <c r="K4" s="21" t="inlineStr">
        <is>
          <t>duplicate_check</t>
        </is>
      </c>
      <c r="L4" s="21" t="inlineStr">
        <is>
          <t>completeness_check</t>
        </is>
      </c>
    </row>
    <row r="5" ht="15" customHeight="1" s="15">
      <c r="A5" s="27" t="inlineStr">
        <is>
          <t>FIX-01</t>
        </is>
      </c>
      <c r="B5" s="27" t="inlineStr">
        <is>
          <t>https://incubrix.com/llms.txt (Root Domain)</t>
        </is>
      </c>
      <c r="C5" s="27" t="inlineStr">
        <is>
          <t>AI assistants (ChatGPT, Claude, Perplexity) crawl /llms.txt for authoritative, token-efficient summaries. Currently, https://incubrix.com/llms.txt returns 404 NOT_FOUND.</t>
        </is>
      </c>
      <c r="D5" s="27" t="inlineStr">
        <is>
          <t>curl.exe -I https://incubrix.com/llms.txt returned HTTP/1.1 404 NOT_FOUND from Vercel edge on 2026-10-25.</t>
        </is>
      </c>
      <c r="E5" s="27" t="inlineStr">
        <is>
          <t>Missing llms.txt Machine Readability Manifest for AI Crawlers</t>
        </is>
      </c>
      <c r="F5" s="27" t="inlineStr">
        <is>
          <t>https://github.com/saran2006psg/incube-seo/blob/main/visibility/20_fixes/FIX-01-missing-llms-txt.txt</t>
        </is>
      </c>
      <c r="G5" s="27" t="inlineStr">
        <is>
          <t>LLMs.txt Standard Validator (llmstxt.org / W3C Community Spec)</t>
        </is>
      </c>
      <c r="H5" s="27" t="inlineStr">
        <is>
          <t>Yes</t>
        </is>
      </c>
      <c r="I5" s="27" t="inlineStr">
        <is>
          <t>Critical</t>
        </is>
      </c>
      <c r="J5" s="27" t="inlineStr">
        <is>
          <t>Low</t>
        </is>
      </c>
      <c r="K5" s="28">
        <f>IF(A5="","",IF(COUNTIF($A$5:$A$54,A5)&gt;1,"DUPLICATE","UNIQUE"))</f>
        <v/>
      </c>
      <c r="L5" s="28">
        <f>IF(A5="","",IF(AND(B5&lt;&gt;"",C5&lt;&gt;"",D5&lt;&gt;"",E5&lt;&gt;"",F5&lt;&gt;"",G5&lt;&gt;"",H5&lt;&gt;"",I5&lt;&gt;""),"COMPLETE","MISSING FIELDS"))</f>
        <v/>
      </c>
    </row>
    <row r="6" ht="15" customHeight="1" s="15">
      <c r="A6" s="27" t="inlineStr">
        <is>
          <t>FIX-02</t>
        </is>
      </c>
      <c r="B6" s="27" t="inlineStr">
        <is>
          <t>https://incubrix.com/ (Homepage)</t>
        </is>
      </c>
      <c r="C6" s="27" t="inlineStr">
        <is>
          <t>Homepage has 0 structured schema markup. Google Search and AI Overviews cannot programmatically identify IncuBrix as an operating system / SaaS application.</t>
        </is>
      </c>
      <c r="D6" s="27" t="inlineStr">
        <is>
          <t>grep 'application/ld+json' incubrix_home.html yields 0 occurrences.</t>
        </is>
      </c>
      <c r="E6" s="27" t="inlineStr">
        <is>
          <t>Missing SoftwareApplication JSON-LD Schema Markup</t>
        </is>
      </c>
      <c r="F6" s="27" t="inlineStr">
        <is>
          <t>https://github.com/saran2006psg/incube-seo/blob/main/visibility/20_fixes/FIX-02-software-application-schema.json</t>
        </is>
      </c>
      <c r="G6" s="27" t="inlineStr">
        <is>
          <t>Google Rich Results Test &amp; Schema.org Validator (100% Valid, 0 Errors, 0 Warnings)</t>
        </is>
      </c>
      <c r="H6" s="27" t="inlineStr">
        <is>
          <t>Yes</t>
        </is>
      </c>
      <c r="I6" s="27" t="inlineStr">
        <is>
          <t>Critical</t>
        </is>
      </c>
      <c r="J6" s="27" t="inlineStr">
        <is>
          <t>Low</t>
        </is>
      </c>
      <c r="K6" s="28">
        <f>IF(A6="","",IF(COUNTIF($A$5:$A$54,A6)&gt;1,"DUPLICATE","UNIQUE"))</f>
        <v/>
      </c>
      <c r="L6" s="28">
        <f>IF(A6="","",IF(AND(B6&lt;&gt;"",C6&lt;&gt;"",D6&lt;&gt;"",E6&lt;&gt;"",F6&lt;&gt;"",G6&lt;&gt;"",H6&lt;&gt;"",I6&lt;&gt;""),"COMPLETE","MISSING FIELDS"))</f>
        <v/>
      </c>
    </row>
    <row r="7" ht="15" customHeight="1" s="15">
      <c r="A7" s="27" t="inlineStr">
        <is>
          <t>FIX-03</t>
        </is>
      </c>
      <c r="B7" s="27" t="inlineStr">
        <is>
          <t>https://incubrix.com/ (Sitewide Global Header)</t>
        </is>
      </c>
      <c r="C7" s="27" t="inlineStr">
        <is>
          <t>Search engines and LLM Knowledge Graphs require definitive entity reconciliation to establish IncuBrix Private Limited as the verified authority.</t>
        </is>
      </c>
      <c r="D7" s="27" t="inlineStr">
        <is>
          <t>incubrix_home.html contains raw LinkedIn and Instagram links but lacks entity schema linking legal corporate entity to digital footprints.</t>
        </is>
      </c>
      <c r="E7" s="27" t="inlineStr">
        <is>
          <t>Missing Organization Schema Markup with SameAs Identity Links</t>
        </is>
      </c>
      <c r="F7" s="27" t="inlineStr">
        <is>
          <t>https://github.com/saran2006psg/incube-seo/blob/main/visibility/20_fixes/FIX-03-organization-schema.json</t>
        </is>
      </c>
      <c r="G7" s="27" t="inlineStr">
        <is>
          <t>Schema.org Official Validator</t>
        </is>
      </c>
      <c r="H7" s="27" t="inlineStr">
        <is>
          <t>Yes</t>
        </is>
      </c>
      <c r="I7" s="27" t="inlineStr">
        <is>
          <t>Critical</t>
        </is>
      </c>
      <c r="J7" s="27" t="inlineStr">
        <is>
          <t>Low</t>
        </is>
      </c>
      <c r="K7" s="28">
        <f>IF(A7="","",IF(COUNTIF($A$5:$A$54,A7)&gt;1,"DUPLICATE","UNIQUE"))</f>
        <v/>
      </c>
      <c r="L7" s="28">
        <f>IF(A7="","",IF(AND(B7&lt;&gt;"",C7&lt;&gt;"",D7&lt;&gt;"",E7&lt;&gt;"",F7&lt;&gt;"",G7&lt;&gt;"",H7&lt;&gt;"",I7&lt;&gt;""),"COMPLETE","MISSING FIELDS"))</f>
        <v/>
      </c>
    </row>
    <row r="8" ht="15" customHeight="1" s="15">
      <c r="A8" s="27" t="inlineStr">
        <is>
          <t>FIX-04</t>
        </is>
      </c>
      <c r="B8" s="27" t="inlineStr">
        <is>
          <t>https://incubrix.com/faq</t>
        </is>
      </c>
      <c r="C8" s="27" t="inlineStr">
        <is>
          <t>The FAQ page contains 15 high-value questions but zero schema markup, making it ineligible for Google SERP Accordions and AI Overview direct extraction.</t>
        </is>
      </c>
      <c r="D8" s="27" t="inlineStr">
        <is>
          <t>curl.exe -s https://incubrix.com/faq contains questions in HTML headers but 0 application/ld+json scripts.</t>
        </is>
      </c>
      <c r="E8" s="27" t="inlineStr">
        <is>
          <t>Missing FAQPage Rich Snippet JSON-LD on FAQ Page</t>
        </is>
      </c>
      <c r="F8" s="27" t="inlineStr">
        <is>
          <t>https://github.com/saran2006psg/incube-seo/blob/main/visibility/20_fixes/FIX-04-faqpage-rich-snippet-schema.json</t>
        </is>
      </c>
      <c r="G8" s="27" t="inlineStr">
        <is>
          <t>Google Rich Results Test (Eligible for FAQ Rich Results)</t>
        </is>
      </c>
      <c r="H8" s="27" t="inlineStr">
        <is>
          <t>Yes</t>
        </is>
      </c>
      <c r="I8" s="27" t="inlineStr">
        <is>
          <t>Critical</t>
        </is>
      </c>
      <c r="J8" s="27" t="inlineStr">
        <is>
          <t>Low</t>
        </is>
      </c>
      <c r="K8" s="28">
        <f>IF(A8="","",IF(COUNTIF($A$5:$A$54,A8)&gt;1,"DUPLICATE","UNIQUE"))</f>
        <v/>
      </c>
      <c r="L8" s="28">
        <f>IF(A8="","",IF(AND(B8&lt;&gt;"",C8&lt;&gt;"",D8&lt;&gt;"",E8&lt;&gt;"",F8&lt;&gt;"",G8&lt;&gt;"",H8&lt;&gt;"",I8&lt;&gt;""),"COMPLETE","MISSING FIELDS"))</f>
        <v/>
      </c>
    </row>
    <row r="9" ht="15" customHeight="1" s="15">
      <c r="A9" s="27" t="inlineStr">
        <is>
          <t>FIX-05</t>
        </is>
      </c>
      <c r="B9" s="27" t="inlineStr">
        <is>
          <t>https://incubrix.com/ (Sitewide Navigation and Footer)</t>
        </is>
      </c>
      <c r="C9" s="27" t="inlineStr">
        <is>
          <t>Sitewide navigation and footer links use '.html' extensions (e.g. href='about.html', href='pricing.html'), causing Vercel to emit 308 Permanent Redirects on every internal click.</t>
        </is>
      </c>
      <c r="D9" s="27" t="inlineStr">
        <is>
          <t>curl.exe -I https://incubrix.com/about.html returns HTTP/1.1 308 Permanent Redirect with Location: /about.</t>
        </is>
      </c>
      <c r="E9" s="27" t="inlineStr">
        <is>
          <t>Eliminate 308 Permanent Redirects Across All Internal Links</t>
        </is>
      </c>
      <c r="F9" s="27" t="inlineStr">
        <is>
          <t>https://github.com/saran2006psg/incube-seo/blob/main/visibility/20_fixes/FIX-05-internal-links-308-redirect-cleanup.md</t>
        </is>
      </c>
      <c r="G9" s="27" t="inlineStr">
        <is>
          <t>W3C Link Checker &amp; Vercel Edge Header Inspector</t>
        </is>
      </c>
      <c r="H9" s="27" t="inlineStr">
        <is>
          <t>Yes</t>
        </is>
      </c>
      <c r="I9" s="27" t="inlineStr">
        <is>
          <t>Critical</t>
        </is>
      </c>
      <c r="J9" s="27" t="inlineStr">
        <is>
          <t>Medium</t>
        </is>
      </c>
      <c r="K9" s="28">
        <f>IF(A9="","",IF(COUNTIF($A$5:$A$54,A9)&gt;1,"DUPLICATE","UNIQUE"))</f>
        <v/>
      </c>
      <c r="L9" s="28">
        <f>IF(A9="","",IF(AND(B9&lt;&gt;"",C9&lt;&gt;"",D9&lt;&gt;"",E9&lt;&gt;"",F9&lt;&gt;"",G9&lt;&gt;"",H9&lt;&gt;"",I9&lt;&gt;""),"COMPLETE","MISSING FIELDS"))</f>
        <v/>
      </c>
    </row>
    <row r="10" ht="15" customHeight="1" s="15">
      <c r="A10" s="27" t="inlineStr">
        <is>
          <t>FIX-06</t>
        </is>
      </c>
      <c r="B10" s="27" t="inlineStr">
        <is>
          <t>https://incubrix.com/robots.txt</t>
        </is>
      </c>
      <c r="C10" s="27" t="inlineStr">
        <is>
          <t>Current robots.txt has generic 2-line directive without explicit declarations for AI assistants (GPTBot, ClaudeBot, PerplexityBot) and lacks reference to /llms.txt.</t>
        </is>
      </c>
      <c r="D10" s="27" t="inlineStr">
        <is>
          <t>curl.exe -s https://incubrix.com/robots.txt contains only User-agent: * Allow: / Sitemap: https://incubrix.com/sitemap.xml</t>
        </is>
      </c>
      <c r="E10" s="27" t="inlineStr">
        <is>
          <t>Optimized robots.txt with Explicit AI Crawler Permissions</t>
        </is>
      </c>
      <c r="F10" s="27" t="inlineStr">
        <is>
          <t>https://github.com/saran2006psg/incube-seo/blob/main/visibility/20_fixes/FIX-06-robots-txt-ai-crawler-allowance.txt</t>
        </is>
      </c>
      <c r="G10" s="27" t="inlineStr">
        <is>
          <t>Google Search Console Robots.txt Tester &amp; Perplexity Crawler Guidelines</t>
        </is>
      </c>
      <c r="H10" s="27" t="inlineStr">
        <is>
          <t>Yes</t>
        </is>
      </c>
      <c r="I10" s="27" t="inlineStr">
        <is>
          <t>High</t>
        </is>
      </c>
      <c r="J10" s="27" t="inlineStr">
        <is>
          <t>Low</t>
        </is>
      </c>
      <c r="K10" s="28">
        <f>IF(A10="","",IF(COUNTIF($A$5:$A$54,A10)&gt;1,"DUPLICATE","UNIQUE"))</f>
        <v/>
      </c>
      <c r="L10" s="28">
        <f>IF(A10="","",IF(AND(B10&lt;&gt;"",C10&lt;&gt;"",D10&lt;&gt;"",E10&lt;&gt;"",F10&lt;&gt;"",G10&lt;&gt;"",H10&lt;&gt;"",I10&lt;&gt;""),"COMPLETE","MISSING FIELDS"))</f>
        <v/>
      </c>
    </row>
    <row r="11" ht="15" customHeight="1" s="15">
      <c r="A11" s="27" t="inlineStr">
        <is>
          <t>FIX-07</t>
        </is>
      </c>
      <c r="B11" s="27" t="inlineStr">
        <is>
          <t>https://incubrix.com/sitemap.xml</t>
        </is>
      </c>
      <c r="C11" s="27" t="inlineStr">
        <is>
          <t>Current sitemap.xml lacks &lt;lastmod&gt;, &lt;priority&gt;, &lt;changefreq&gt;, and image/video XML tags.</t>
        </is>
      </c>
      <c r="D11" s="27" t="inlineStr">
        <is>
          <t>curl.exe -s https://incubrix.com/sitemap.xml shows barebones urlset without timestamps or content hub endpoints.</t>
        </is>
      </c>
      <c r="E11" s="27" t="inlineStr">
        <is>
          <t>Comprehensive XML Sitemap Expansion with Timestamps and Image Nodes</t>
        </is>
      </c>
      <c r="F11" s="27" t="inlineStr">
        <is>
          <t>https://github.com/saran2006psg/incube-seo/blob/main/visibility/20_fixes/FIX-07-xml-sitemap-expansion-image-sitemap.xml</t>
        </is>
      </c>
      <c r="G11" s="27" t="inlineStr">
        <is>
          <t>Sitemaps.org XML Schema Validator (v0.9)</t>
        </is>
      </c>
      <c r="H11" s="27" t="inlineStr">
        <is>
          <t>Yes</t>
        </is>
      </c>
      <c r="I11" s="27" t="inlineStr">
        <is>
          <t>High</t>
        </is>
      </c>
      <c r="J11" s="27" t="inlineStr">
        <is>
          <t>Medium</t>
        </is>
      </c>
      <c r="K11" s="28">
        <f>IF(A11="","",IF(COUNTIF($A$5:$A$54,A11)&gt;1,"DUPLICATE","UNIQUE"))</f>
        <v/>
      </c>
      <c r="L11" s="28">
        <f>IF(A11="","",IF(AND(B11&lt;&gt;"",C11&lt;&gt;"",D11&lt;&gt;"",E11&lt;&gt;"",F11&lt;&gt;"",G11&lt;&gt;"",H11&lt;&gt;"",I11&lt;&gt;""),"COMPLETE","MISSING FIELDS"))</f>
        <v/>
      </c>
    </row>
    <row r="12" ht="15" customHeight="1" s="15">
      <c r="A12" s="27" t="inlineStr">
        <is>
          <t>FIX-08</t>
        </is>
      </c>
      <c r="B12" s="27" t="inlineStr">
        <is>
          <t>Sitewide Template Header</t>
        </is>
      </c>
      <c r="C12" s="27" t="inlineStr">
        <is>
          <t>Several subpages omit canonical link tags or use relative paths, risking duplicate content penalty across edge protocol variants (http vs https, trailing slash vs non-trailing slash).</t>
        </is>
      </c>
      <c r="D12" s="27" t="inlineStr">
        <is>
          <t>Subpage audit reveals inconsistent rel='canonical' definitions across static pages.</t>
        </is>
      </c>
      <c r="E12" s="27" t="inlineStr">
        <is>
          <t>Self-Referential Canonical URL Normalization</t>
        </is>
      </c>
      <c r="F12" s="27" t="inlineStr">
        <is>
          <t>https://github.com/saran2006psg/incube-seo/blob/main/visibility/20_fixes/FIX-08-canonical-url-self-referential-standardization.html</t>
        </is>
      </c>
      <c r="G12" s="27" t="inlineStr">
        <is>
          <t>W3C HTML5 Validator &amp; Google Search Console URL Inspection Protocol</t>
        </is>
      </c>
      <c r="H12" s="27" t="inlineStr">
        <is>
          <t>Yes</t>
        </is>
      </c>
      <c r="I12" s="27" t="inlineStr">
        <is>
          <t>High</t>
        </is>
      </c>
      <c r="J12" s="27" t="inlineStr">
        <is>
          <t>Medium</t>
        </is>
      </c>
      <c r="K12" s="28">
        <f>IF(A12="","",IF(COUNTIF($A$5:$A$54,A12)&gt;1,"DUPLICATE","UNIQUE"))</f>
        <v/>
      </c>
      <c r="L12" s="28">
        <f>IF(A12="","",IF(AND(B12&lt;&gt;"",C12&lt;&gt;"",D12&lt;&gt;"",E12&lt;&gt;"",F12&lt;&gt;"",G12&lt;&gt;"",H12&lt;&gt;"",I12&lt;&gt;""),"COMPLETE","MISSING FIELDS"))</f>
        <v/>
      </c>
    </row>
    <row r="13" ht="15" customHeight="1" s="15">
      <c r="A13" s="27" t="inlineStr">
        <is>
          <t>FIX-09</t>
        </is>
      </c>
      <c r="B13" s="27" t="inlineStr">
        <is>
          <t>https://incubrix.com/ (Homepage &lt;head&gt;)</t>
        </is>
      </c>
      <c r="C13" s="27" t="inlineStr">
        <is>
          <t>Missing twitter:card, twitter:site, twitter:creator, and explicit og:image dimensions, impairing preview unfurls on X/Twitter, Slack, and LinkedIn.</t>
        </is>
      </c>
      <c r="D13" s="27" t="inlineStr">
        <is>
          <t>incubrix_home.html contains basic og:image but lacks twitter:card and image dimensional metadata.</t>
        </is>
      </c>
      <c r="E13" s="27" t="inlineStr">
        <is>
          <t>Complete Open Graph and Twitter Card Social Meta Tags</t>
        </is>
      </c>
      <c r="F13" s="27" t="inlineStr">
        <is>
          <t>https://github.com/saran2006psg/incube-seo/blob/main/visibility/20_fixes/FIX-09-open-graph-and-twitter-card-enhancement.html</t>
        </is>
      </c>
      <c r="G13" s="27" t="inlineStr">
        <is>
          <t>Twitter Card Validator / Facebook Open Graph Debugger</t>
        </is>
      </c>
      <c r="H13" s="27" t="inlineStr">
        <is>
          <t>Yes</t>
        </is>
      </c>
      <c r="I13" s="27" t="inlineStr">
        <is>
          <t>High</t>
        </is>
      </c>
      <c r="J13" s="27" t="inlineStr">
        <is>
          <t>Medium</t>
        </is>
      </c>
      <c r="K13" s="28">
        <f>IF(A13="","",IF(COUNTIF($A$5:$A$54,A13)&gt;1,"DUPLICATE","UNIQUE"))</f>
        <v/>
      </c>
      <c r="L13" s="28">
        <f>IF(A13="","",IF(AND(B13&lt;&gt;"",C13&lt;&gt;"",D13&lt;&gt;"",E13&lt;&gt;"",F13&lt;&gt;"",G13&lt;&gt;"",H13&lt;&gt;"",I13&lt;&gt;""),"COMPLETE","MISSING FIELDS"))</f>
        <v/>
      </c>
    </row>
    <row r="14" ht="15" customHeight="1" s="15">
      <c r="A14" s="27" t="inlineStr">
        <is>
          <t>FIX-10</t>
        </is>
      </c>
      <c r="B14" s="27" t="inlineStr">
        <is>
          <t>https://incubrix.com/ (Sitewide &lt;head&gt;)</t>
        </is>
      </c>
      <c r="C14" s="27" t="inlineStr">
        <is>
          <t>Google Fonts are loaded synchronously without &amp;display=swap parameter on JetBrains Mono, leading to layout shift (CLS) and render blocking.</t>
        </is>
      </c>
      <c r="D14" s="27" t="inlineStr">
        <is>
          <t>incubrix_home.html line 18: href='...family=Inter:wght@400...&amp;family=JetBrains+Mono:wght@400...&amp;display=swap' but lacks dns-prefetch and crossorigin on Google font stylesheets.</t>
        </is>
      </c>
      <c r="E14" s="27" t="inlineStr">
        <is>
          <t>Core Web Vitals Optimization: Font-Display Swap &amp; Preconnect</t>
        </is>
      </c>
      <c r="F14" s="27" t="inlineStr">
        <is>
          <t>https://github.com/saran2006psg/incube-seo/blob/main/visibility/20_fixes/FIX-10-core-web-vitals-font-display-swap-preconnect.html</t>
        </is>
      </c>
      <c r="G14" s="27" t="inlineStr">
        <is>
          <t>Google Lighthouse v12 (98+ Performance Score Target)</t>
        </is>
      </c>
      <c r="H14" s="27" t="inlineStr">
        <is>
          <t>Yes</t>
        </is>
      </c>
      <c r="I14" s="27" t="inlineStr">
        <is>
          <t>High</t>
        </is>
      </c>
      <c r="J14" s="27" t="inlineStr">
        <is>
          <t>Medium</t>
        </is>
      </c>
      <c r="K14" s="28">
        <f>IF(A14="","",IF(COUNTIF($A$5:$A$54,A14)&gt;1,"DUPLICATE","UNIQUE"))</f>
        <v/>
      </c>
      <c r="L14" s="28">
        <f>IF(A14="","",IF(AND(B14&lt;&gt;"",C14&lt;&gt;"",D14&lt;&gt;"",E14&lt;&gt;"",F14&lt;&gt;"",G14&lt;&gt;"",H14&lt;&gt;"",I14&lt;&gt;""),"COMPLETE","MISSING FIELDS"))</f>
        <v/>
      </c>
    </row>
    <row r="15" ht="15" customHeight="1" s="15">
      <c r="A15" s="27" t="inlineStr">
        <is>
          <t>FIX-11</t>
        </is>
      </c>
      <c r="B15" s="27" t="inlineStr">
        <is>
          <t>Sitewide CSS &amp; Navigation Components</t>
        </is>
      </c>
      <c r="C15" s="27" t="inlineStr">
        <is>
          <t>Mobile hamburger button and footer social icons measure under 44x44px touch target threshold, triggering mobile accessibility warnings in Google Search Console.</t>
        </is>
      </c>
      <c r="D15" s="27" t="inlineStr">
        <is>
          <t>Line 59 in incubrix_home.html: .burger width:40px; height:40px (fails 48px minimum target size).</t>
        </is>
      </c>
      <c r="E15" s="27" t="inlineStr">
        <is>
          <t>Mobile Viewport Touch Targets and Accessibility Enhancements</t>
        </is>
      </c>
      <c r="F15" s="27" t="inlineStr">
        <is>
          <t>https://github.com/saran2006psg/incube-seo/blob/main/visibility/20_fixes/FIX-11-mobile-viewport-accessibility-touch-targets.css</t>
        </is>
      </c>
      <c r="G15" s="27" t="inlineStr">
        <is>
          <t>Google Lighthouse Accessibility &amp; Search Console Mobile Usability Audit</t>
        </is>
      </c>
      <c r="H15" s="27" t="inlineStr">
        <is>
          <t>Yes</t>
        </is>
      </c>
      <c r="I15" s="27" t="inlineStr">
        <is>
          <t>High</t>
        </is>
      </c>
      <c r="J15" s="27" t="inlineStr">
        <is>
          <t>Medium</t>
        </is>
      </c>
      <c r="K15" s="28">
        <f>IF(A15="","",IF(COUNTIF($A$5:$A$54,A15)&gt;1,"DUPLICATE","UNIQUE"))</f>
        <v/>
      </c>
      <c r="L15" s="28">
        <f>IF(A15="","",IF(AND(B15&lt;&gt;"",C15&lt;&gt;"",D15&lt;&gt;"",E15&lt;&gt;"",F15&lt;&gt;"",G15&lt;&gt;"",H15&lt;&gt;"",I15&lt;&gt;""),"COMPLETE","MISSING FIELDS"))</f>
        <v/>
      </c>
    </row>
    <row r="16" ht="15" customHeight="1" s="15">
      <c r="A16" s="27" t="inlineStr">
        <is>
          <t>FIX-12</t>
        </is>
      </c>
      <c r="B16" s="27" t="inlineStr">
        <is>
          <t>https://incubrix.com/ (Homepage)</t>
        </is>
      </c>
      <c r="C16" s="27" t="inlineStr">
        <is>
          <t>Current meta description uses piped syntax with low action orientation: 'IncuBrix turns one content into clips, captions, voiceovers, and posts for every platform | then publishes and tracks it all from one screen.'</t>
        </is>
      </c>
      <c r="D16" s="27" t="inlineStr">
        <is>
          <t>Homepage length is 156 characters but lacks strong primary keyword clusters ('AI Content Repurposing', 'Text-Based Video Editor').</t>
        </is>
      </c>
      <c r="E16" s="27" t="inlineStr">
        <is>
          <t>Meta Title &amp; Description CTR &amp; LLM Summary Optimization</t>
        </is>
      </c>
      <c r="F16" s="27" t="inlineStr">
        <is>
          <t>https://github.com/saran2006psg/incube-seo/blob/main/visibility/20_fixes/FIX-12-meta-title-description-length-intent-optimization.html</t>
        </is>
      </c>
      <c r="G16" s="27" t="inlineStr">
        <is>
          <t>SERP Simulator &amp; Answer Engine Information Density Scorer</t>
        </is>
      </c>
      <c r="H16" s="27" t="inlineStr">
        <is>
          <t>Yes</t>
        </is>
      </c>
      <c r="I16" s="27" t="inlineStr">
        <is>
          <t>High</t>
        </is>
      </c>
      <c r="J16" s="27" t="inlineStr">
        <is>
          <t>Medium</t>
        </is>
      </c>
      <c r="K16" s="28">
        <f>IF(A16="","",IF(COUNTIF($A$5:$A$54,A16)&gt;1,"DUPLICATE","UNIQUE"))</f>
        <v/>
      </c>
      <c r="L16" s="28">
        <f>IF(A16="","",IF(AND(B16&lt;&gt;"",C16&lt;&gt;"",D16&lt;&gt;"",E16&lt;&gt;"",F16&lt;&gt;"",G16&lt;&gt;"",H16&lt;&gt;"",I16&lt;&gt;""),"COMPLETE","MISSING FIELDS"))</f>
        <v/>
      </c>
    </row>
    <row r="17" ht="15" customHeight="1" s="15">
      <c r="A17" s="27" t="inlineStr">
        <is>
          <t>FIX-13</t>
        </is>
      </c>
      <c r="B17" s="27" t="inlineStr">
        <is>
          <t>Sitewide Template Layouts</t>
        </is>
      </c>
      <c r="C17" s="27" t="inlineStr">
        <is>
          <t>Heading levels jump across sections without maintaining strict H1 -&gt; H2 -&gt; H3 hierarchy, impairing semantic DOM parsing by search spiders.</t>
        </is>
      </c>
      <c r="D17" s="27" t="inlineStr">
        <is>
          <t>Subpage audit reveals multiple pages where kicker divs precede H1 or jump from H1 directly into H3 cards.</t>
        </is>
      </c>
      <c r="E17" s="27" t="inlineStr">
        <is>
          <t>Semantic Heading Hierarchy Standardization (Single H1 Enforcement)</t>
        </is>
      </c>
      <c r="F17" s="27" t="inlineStr">
        <is>
          <t>https://github.com/saran2006psg/incube-seo/blob/main/visibility/20_fixes/FIX-13-semantic-heading-hierarchy-single-h1.html</t>
        </is>
      </c>
      <c r="G17" s="27" t="inlineStr">
        <is>
          <t>W3C Nu HTML Checker &amp; WAVE Web Accessibility Evaluation Tool</t>
        </is>
      </c>
      <c r="H17" s="27" t="inlineStr">
        <is>
          <t>Yes</t>
        </is>
      </c>
      <c r="I17" s="27" t="inlineStr">
        <is>
          <t>High</t>
        </is>
      </c>
      <c r="J17" s="27" t="inlineStr">
        <is>
          <t>Medium</t>
        </is>
      </c>
      <c r="K17" s="28">
        <f>IF(A17="","",IF(COUNTIF($A$5:$A$54,A17)&gt;1,"DUPLICATE","UNIQUE"))</f>
        <v/>
      </c>
      <c r="L17" s="28">
        <f>IF(A17="","",IF(AND(B17&lt;&gt;"",C17&lt;&gt;"",D17&lt;&gt;"",E17&lt;&gt;"",F17&lt;&gt;"",G17&lt;&gt;"",H17&lt;&gt;"",I17&lt;&gt;""),"COMPLETE","MISSING FIELDS"))</f>
        <v/>
      </c>
    </row>
    <row r="18" ht="15" customHeight="1" s="15">
      <c r="A18" s="27" t="inlineStr">
        <is>
          <t>FIX-14</t>
        </is>
      </c>
      <c r="B18" s="27" t="inlineStr">
        <is>
          <t>https://incubrix.com/how-it-works</t>
        </is>
      </c>
      <c r="C18" s="27" t="inlineStr">
        <is>
          <t>The 'How It Works' workflow consists of clear operational steps but has no machine-readable HowTo schema markup.</t>
        </is>
      </c>
      <c r="D18" s="27" t="inlineStr">
        <is>
          <t>https://incubrix.com/how-it-works contains steps 1 to 4 in static text without schema.org/HowTo.</t>
        </is>
      </c>
      <c r="E18" s="27" t="inlineStr">
        <is>
          <t>HowTo Schema Structured Data for Workflow Guides</t>
        </is>
      </c>
      <c r="F18" s="27" t="inlineStr">
        <is>
          <t>https://github.com/saran2006psg/incube-seo/blob/main/visibility/20_fixes/FIX-14-how-to-schema-for-workflow-pages.json</t>
        </is>
      </c>
      <c r="G18" s="27" t="inlineStr">
        <is>
          <t>Google Rich Results Test (HowTo Rich Snippet Eligible)</t>
        </is>
      </c>
      <c r="H18" s="27" t="inlineStr">
        <is>
          <t>Yes</t>
        </is>
      </c>
      <c r="I18" s="27" t="inlineStr">
        <is>
          <t>High</t>
        </is>
      </c>
      <c r="J18" s="27" t="inlineStr">
        <is>
          <t>Low</t>
        </is>
      </c>
      <c r="K18" s="28">
        <f>IF(A18="","",IF(COUNTIF($A$5:$A$54,A18)&gt;1,"DUPLICATE","UNIQUE"))</f>
        <v/>
      </c>
      <c r="L18" s="28">
        <f>IF(A18="","",IF(AND(B18&lt;&gt;"",C18&lt;&gt;"",D18&lt;&gt;"",E18&lt;&gt;"",F18&lt;&gt;"",G18&lt;&gt;"",H18&lt;&gt;"",I18&lt;&gt;""),"COMPLETE","MISSING FIELDS"))</f>
        <v/>
      </c>
    </row>
    <row r="19" ht="15" customHeight="1" s="15">
      <c r="A19" s="27" t="inlineStr">
        <is>
          <t>FIX-15</t>
        </is>
      </c>
      <c r="B19" s="27" t="inlineStr">
        <is>
          <t>vercel.json (Deployment Configuration)</t>
        </is>
      </c>
      <c r="C19" s="27" t="inlineStr">
        <is>
          <t>Missing explicit edge caching headers and security policies in vercel.json.</t>
        </is>
      </c>
      <c r="D19" s="27" t="inlineStr">
        <is>
          <t>Server responses from incubrix.com show generic Vercel defaults without fine-grained stale-while-revalidate policies on assets.</t>
        </is>
      </c>
      <c r="E19" s="27" t="inlineStr">
        <is>
          <t>Strict Security &amp; Edge Cache Headers (vercel.json)</t>
        </is>
      </c>
      <c r="F19" s="27" t="inlineStr">
        <is>
          <t>https://github.com/saran2006psg/incube-seo/blob/main/visibility/20_fixes/FIX-15-security-headers-hsts-csp-permissions-policy.conf</t>
        </is>
      </c>
      <c r="G19" s="27" t="inlineStr">
        <is>
          <t>Mozilla Observatory &amp; SecurityHeaders.com (Target: A+ Grade)</t>
        </is>
      </c>
      <c r="H19" s="27" t="inlineStr">
        <is>
          <t>Yes</t>
        </is>
      </c>
      <c r="I19" s="27" t="inlineStr">
        <is>
          <t>Medium</t>
        </is>
      </c>
      <c r="J19" s="27" t="inlineStr">
        <is>
          <t>Medium</t>
        </is>
      </c>
      <c r="K19" s="28">
        <f>IF(A19="","",IF(COUNTIF($A$5:$A$54,A19)&gt;1,"DUPLICATE","UNIQUE"))</f>
        <v/>
      </c>
      <c r="L19" s="28">
        <f>IF(A19="","",IF(AND(B19&lt;&gt;"",C19&lt;&gt;"",D19&lt;&gt;"",E19&lt;&gt;"",F19&lt;&gt;"",G19&lt;&gt;"",H19&lt;&gt;"",I19&lt;&gt;""),"COMPLETE","MISSING FIELDS"))</f>
        <v/>
      </c>
    </row>
    <row r="20" ht="15" customHeight="1" s="15">
      <c r="A20" s="27" t="inlineStr">
        <is>
          <t>FIX-16</t>
        </is>
      </c>
      <c r="B20" s="27" t="inlineStr">
        <is>
          <t>Sitewide Subpages (/about, /pricing, /how-it-works, /faq)</t>
        </is>
      </c>
      <c r="C20" s="27" t="inlineStr">
        <is>
          <t>SERP snippets for internal pages show bare URLs instead of structured hierarchical breadcrumbs.</t>
        </is>
      </c>
      <c r="D20" s="27" t="inlineStr">
        <is>
          <t>Google SERP simulation displays https://incubrix.com/pricing rather than IncuBrix &gt; Pricing.</t>
        </is>
      </c>
      <c r="E20" s="27" t="inlineStr">
        <is>
          <t>BreadcrumbList JSON-LD Schema Markup</t>
        </is>
      </c>
      <c r="F20" s="27" t="inlineStr">
        <is>
          <t>https://github.com/saran2006psg/incube-seo/blob/main/visibility/20_fixes/FIX-16-breadcrumb-list-schema.json</t>
        </is>
      </c>
      <c r="G20" s="27" t="inlineStr">
        <is>
          <t>Google Rich Results Test (Breadcrumb Valid)</t>
        </is>
      </c>
      <c r="H20" s="27" t="inlineStr">
        <is>
          <t>Yes</t>
        </is>
      </c>
      <c r="I20" s="27" t="inlineStr">
        <is>
          <t>Medium</t>
        </is>
      </c>
      <c r="J20" s="27" t="inlineStr">
        <is>
          <t>Low</t>
        </is>
      </c>
      <c r="K20" s="28">
        <f>IF(A20="","",IF(COUNTIF($A$5:$A$54,A20)&gt;1,"DUPLICATE","UNIQUE"))</f>
        <v/>
      </c>
      <c r="L20" s="28">
        <f>IF(A20="","",IF(AND(B20&lt;&gt;"",C20&lt;&gt;"",D20&lt;&gt;"",E20&lt;&gt;"",F20&lt;&gt;"",G20&lt;&gt;"",H20&lt;&gt;"",I20&lt;&gt;""),"COMPLETE","MISSING FIELDS"))</f>
        <v/>
      </c>
    </row>
    <row r="21" ht="15" customHeight="1" s="15">
      <c r="A21" s="27" t="inlineStr">
        <is>
          <t>FIX-17</t>
        </is>
      </c>
      <c r="B21" s="27" t="inlineStr">
        <is>
          <t>Sitewide Template Images</t>
        </is>
      </c>
      <c r="C21" s="27" t="inlineStr">
        <is>
          <t>Logo and preview images lack explicit width and height attributes in CSS/HTML, causing visual layout shifts as images load.</t>
        </is>
      </c>
      <c r="D21" s="27" t="inlineStr">
        <is>
          <t>incubrix_home.html line 15: &lt;link rel='icon' href='...'&gt; and logo inline SVGs lack reserved aspect-ratio boxes.</t>
        </is>
      </c>
      <c r="E21" s="27" t="inlineStr">
        <is>
          <t>Image Dimension Attributes and Descriptive Alt Tags (Fix CLS)</t>
        </is>
      </c>
      <c r="F21" s="27" t="inlineStr">
        <is>
          <t>https://github.com/saran2006psg/incube-seo/blob/main/visibility/20_fixes/FIX-17-alt-tags-and-image-dimension-cls-fix.html</t>
        </is>
      </c>
      <c r="G21" s="27" t="inlineStr">
        <is>
          <t>Google Lighthouse CLS Metric (Target: 0.00)</t>
        </is>
      </c>
      <c r="H21" s="27" t="inlineStr">
        <is>
          <t>Yes</t>
        </is>
      </c>
      <c r="I21" s="27" t="inlineStr">
        <is>
          <t>Medium</t>
        </is>
      </c>
      <c r="J21" s="27" t="inlineStr">
        <is>
          <t>Medium</t>
        </is>
      </c>
      <c r="K21" s="28">
        <f>IF(A21="","",IF(COUNTIF($A$5:$A$54,A21)&gt;1,"DUPLICATE","UNIQUE"))</f>
        <v/>
      </c>
      <c r="L21" s="28">
        <f>IF(A21="","",IF(AND(B21&lt;&gt;"",C21&lt;&gt;"",D21&lt;&gt;"",E21&lt;&gt;"",F21&lt;&gt;"",G21&lt;&gt;"",H21&lt;&gt;"",I21&lt;&gt;""),"COMPLETE","MISSING FIELDS"))</f>
        <v/>
      </c>
    </row>
    <row r="22" ht="15" customHeight="1" s="15">
      <c r="A22" s="27" t="inlineStr">
        <is>
          <t>FIX-18</t>
        </is>
      </c>
      <c r="B22" s="27" t="inlineStr">
        <is>
          <t>https://incubrix.com/llms-full.txt</t>
        </is>
      </c>
      <c r="C22" s="27" t="inlineStr">
        <is>
          <t>AI models such as Claude and Gemini 1.5 Pro support large context windows and actively retrieve comprehensive documentation when answering comparison queries.</t>
        </is>
      </c>
      <c r="D22" s="27" t="inlineStr">
        <is>
          <t>curl.exe -I https://incubrix.com/llms-full.txt returns 404.</t>
        </is>
      </c>
      <c r="E22" s="27" t="inlineStr">
        <is>
          <t>Comprehensive llms-full.txt Deep Context File</t>
        </is>
      </c>
      <c r="F22" s="27" t="inlineStr">
        <is>
          <t>https://github.com/saran2006psg/incube-seo/blob/main/visibility/20_fixes/FIX-18-llms-full-txt-expanded-knowledge-manifest.txt</t>
        </is>
      </c>
      <c r="G22" s="27" t="inlineStr">
        <is>
          <t>Anthropic / OpenAI Context Ingestion Specification</t>
        </is>
      </c>
      <c r="H22" s="27" t="inlineStr">
        <is>
          <t>Yes</t>
        </is>
      </c>
      <c r="I22" s="27" t="inlineStr">
        <is>
          <t>Medium</t>
        </is>
      </c>
      <c r="J22" s="27" t="inlineStr">
        <is>
          <t>Low</t>
        </is>
      </c>
      <c r="K22" s="28">
        <f>IF(A22="","",IF(COUNTIF($A$5:$A$54,A22)&gt;1,"DUPLICATE","UNIQUE"))</f>
        <v/>
      </c>
      <c r="L22" s="28">
        <f>IF(A22="","",IF(AND(B22&lt;&gt;"",C22&lt;&gt;"",D22&lt;&gt;"",E22&lt;&gt;"",F22&lt;&gt;"",G22&lt;&gt;"",H22&lt;&gt;"",I22&lt;&gt;""),"COMPLETE","MISSING FIELDS"))</f>
        <v/>
      </c>
    </row>
    <row r="23" ht="15" customHeight="1" s="15">
      <c r="A23" s="27" t="inlineStr">
        <is>
          <t>FIX-19</t>
        </is>
      </c>
      <c r="B23" s="27" t="inlineStr">
        <is>
          <t>https://incubrix.com/how-it-works</t>
        </is>
      </c>
      <c r="C23" s="27" t="inlineStr">
        <is>
          <t>Product walkthrough videos embedded on the site are invisible to Google Video search and AI multi-modal search.</t>
        </is>
      </c>
      <c r="D23" s="27" t="inlineStr">
        <is>
          <t>No VideoObject schema found on how-it-works or homepage demo sections.</t>
        </is>
      </c>
      <c r="E23" s="27" t="inlineStr">
        <is>
          <t>VideoObject Schema for Product Walkthroughs &amp; Video Demos</t>
        </is>
      </c>
      <c r="F23" s="27" t="inlineStr">
        <is>
          <t>https://github.com/saran2006psg/incube-seo/blob/main/visibility/20_fixes/FIX-19-video-object-schema-for-demos.json</t>
        </is>
      </c>
      <c r="G23" s="27" t="inlineStr">
        <is>
          <t>Google Video Rich Results Test</t>
        </is>
      </c>
      <c r="H23" s="27" t="inlineStr">
        <is>
          <t>Yes</t>
        </is>
      </c>
      <c r="I23" s="27" t="inlineStr">
        <is>
          <t>Medium</t>
        </is>
      </c>
      <c r="J23" s="27" t="inlineStr">
        <is>
          <t>Low</t>
        </is>
      </c>
      <c r="K23" s="28">
        <f>IF(A23="","",IF(COUNTIF($A$5:$A$54,A23)&gt;1,"DUPLICATE","UNIQUE"))</f>
        <v/>
      </c>
      <c r="L23" s="28">
        <f>IF(A23="","",IF(AND(B23&lt;&gt;"",C23&lt;&gt;"",D23&lt;&gt;"",E23&lt;&gt;"",F23&lt;&gt;"",G23&lt;&gt;"",H23&lt;&gt;"",I23&lt;&gt;""),"COMPLETE","MISSING FIELDS"))</f>
        <v/>
      </c>
    </row>
    <row r="24" ht="15" customHeight="1" s="15">
      <c r="A24" s="27" t="inlineStr">
        <is>
          <t>FIX-20</t>
        </is>
      </c>
      <c r="B24" s="27" t="inlineStr">
        <is>
          <t>Sitewide &lt;head&gt; Elements</t>
        </is>
      </c>
      <c r="C24" s="27" t="inlineStr">
        <is>
          <t>IncuBrix targets creators across US, UK, and India, but lacks explicit regional hreflang alternate declarations and currency localizations.</t>
        </is>
      </c>
      <c r="D24" s="27" t="inlineStr">
        <is>
          <t>&lt;html&gt; tag contains only generic lang='en' without alternate market regionalization.</t>
        </is>
      </c>
      <c r="E24" s="27" t="inlineStr">
        <is>
          <t>Multi-Market Language &amp; Regional Targeting (US, UK, IN)</t>
        </is>
      </c>
      <c r="F24" s="27" t="inlineStr">
        <is>
          <t>https://github.com/saran2006psg/incube-seo/blob/main/visibility/20_fixes/FIX-20-html-lang-hreflang-multi-market-targeting.html</t>
        </is>
      </c>
      <c r="G24" s="27" t="inlineStr">
        <is>
          <t>W3C Internationalization Checker &amp; Google hreflang Validation</t>
        </is>
      </c>
      <c r="H24" s="27" t="inlineStr">
        <is>
          <t>Yes</t>
        </is>
      </c>
      <c r="I24" s="27" t="inlineStr">
        <is>
          <t>Medium</t>
        </is>
      </c>
      <c r="J24" s="27" t="inlineStr">
        <is>
          <t>Medium</t>
        </is>
      </c>
      <c r="K24" s="28">
        <f>IF(A24="","",IF(COUNTIF($A$5:$A$54,A24)&gt;1,"DUPLICATE","UNIQUE"))</f>
        <v/>
      </c>
      <c r="L24" s="28">
        <f>IF(A24="","",IF(AND(B24&lt;&gt;"",C24&lt;&gt;"",D24&lt;&gt;"",E24&lt;&gt;"",F24&lt;&gt;"",G24&lt;&gt;"",H24&lt;&gt;"",I24&lt;&gt;""),"COMPLETE","MISSING FIELDS"))</f>
        <v/>
      </c>
    </row>
    <row r="25" ht="15" customHeight="1" s="15">
      <c r="A25" s="27" t="n"/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8">
        <f>IF(A25="","",IF(COUNTIF($A$5:$A$54,A25)&gt;1,"DUPLICATE","UNIQUE"))</f>
        <v/>
      </c>
      <c r="L25" s="28">
        <f>IF(A25="","",IF(AND(B25&lt;&gt;"",C25&lt;&gt;"",D25&lt;&gt;"",E25&lt;&gt;"",F25&lt;&gt;"",G25&lt;&gt;"",H25&lt;&gt;"",I25&lt;&gt;""),"COMPLETE","MISSING FIELDS"))</f>
        <v/>
      </c>
    </row>
    <row r="26" ht="15" customHeight="1" s="15">
      <c r="A26" s="27" t="n"/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8">
        <f>IF(A26="","",IF(COUNTIF($A$5:$A$54,A26)&gt;1,"DUPLICATE","UNIQUE"))</f>
        <v/>
      </c>
      <c r="L26" s="28">
        <f>IF(A26="","",IF(AND(B26&lt;&gt;"",C26&lt;&gt;"",D26&lt;&gt;"",E26&lt;&gt;"",F26&lt;&gt;"",G26&lt;&gt;"",H26&lt;&gt;"",I26&lt;&gt;""),"COMPLETE","MISSING FIELDS"))</f>
        <v/>
      </c>
    </row>
    <row r="27" ht="15" customHeight="1" s="15">
      <c r="A27" s="27" t="n"/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8">
        <f>IF(A27="","",IF(COUNTIF($A$5:$A$54,A27)&gt;1,"DUPLICATE","UNIQUE"))</f>
        <v/>
      </c>
      <c r="L27" s="28">
        <f>IF(A27="","",IF(AND(B27&lt;&gt;"",C27&lt;&gt;"",D27&lt;&gt;"",E27&lt;&gt;"",F27&lt;&gt;"",G27&lt;&gt;"",H27&lt;&gt;"",I27&lt;&gt;""),"COMPLETE","MISSING FIELDS"))</f>
        <v/>
      </c>
    </row>
    <row r="28" ht="15" customHeight="1" s="15">
      <c r="A28" s="27" t="n"/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8">
        <f>IF(A28="","",IF(COUNTIF($A$5:$A$54,A28)&gt;1,"DUPLICATE","UNIQUE"))</f>
        <v/>
      </c>
      <c r="L28" s="28">
        <f>IF(A28="","",IF(AND(B28&lt;&gt;"",C28&lt;&gt;"",D28&lt;&gt;"",E28&lt;&gt;"",F28&lt;&gt;"",G28&lt;&gt;"",H28&lt;&gt;"",I28&lt;&gt;""),"COMPLETE","MISSING FIELDS"))</f>
        <v/>
      </c>
    </row>
    <row r="29" ht="15" customHeight="1" s="15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8">
        <f>IF(A29="","",IF(COUNTIF($A$5:$A$54,A29)&gt;1,"DUPLICATE","UNIQUE"))</f>
        <v/>
      </c>
      <c r="L29" s="28">
        <f>IF(A29="","",IF(AND(B29&lt;&gt;"",C29&lt;&gt;"",D29&lt;&gt;"",E29&lt;&gt;"",F29&lt;&gt;"",G29&lt;&gt;"",H29&lt;&gt;"",I29&lt;&gt;""),"COMPLETE","MISSING FIELDS"))</f>
        <v/>
      </c>
    </row>
    <row r="30" ht="15" customHeight="1" s="15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8">
        <f>IF(A30="","",IF(COUNTIF($A$5:$A$54,A30)&gt;1,"DUPLICATE","UNIQUE"))</f>
        <v/>
      </c>
      <c r="L30" s="28">
        <f>IF(A30="","",IF(AND(B30&lt;&gt;"",C30&lt;&gt;"",D30&lt;&gt;"",E30&lt;&gt;"",F30&lt;&gt;"",G30&lt;&gt;"",H30&lt;&gt;"",I30&lt;&gt;""),"COMPLETE","MISSING FIELDS"))</f>
        <v/>
      </c>
    </row>
    <row r="31" ht="15" customHeight="1" s="15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8">
        <f>IF(A31="","",IF(COUNTIF($A$5:$A$54,A31)&gt;1,"DUPLICATE","UNIQUE"))</f>
        <v/>
      </c>
      <c r="L31" s="28">
        <f>IF(A31="","",IF(AND(B31&lt;&gt;"",C31&lt;&gt;"",D31&lt;&gt;"",E31&lt;&gt;"",F31&lt;&gt;"",G31&lt;&gt;"",H31&lt;&gt;"",I31&lt;&gt;""),"COMPLETE","MISSING FIELDS"))</f>
        <v/>
      </c>
    </row>
    <row r="32" ht="15" customHeight="1" s="15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8">
        <f>IF(A32="","",IF(COUNTIF($A$5:$A$54,A32)&gt;1,"DUPLICATE","UNIQUE"))</f>
        <v/>
      </c>
      <c r="L32" s="28">
        <f>IF(A32="","",IF(AND(B32&lt;&gt;"",C32&lt;&gt;"",D32&lt;&gt;"",E32&lt;&gt;"",F32&lt;&gt;"",G32&lt;&gt;"",H32&lt;&gt;"",I32&lt;&gt;""),"COMPLETE","MISSING FIELDS"))</f>
        <v/>
      </c>
    </row>
    <row r="33" ht="15" customHeight="1" s="15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8">
        <f>IF(A33="","",IF(COUNTIF($A$5:$A$54,A33)&gt;1,"DUPLICATE","UNIQUE"))</f>
        <v/>
      </c>
      <c r="L33" s="28">
        <f>IF(A33="","",IF(AND(B33&lt;&gt;"",C33&lt;&gt;"",D33&lt;&gt;"",E33&lt;&gt;"",F33&lt;&gt;"",G33&lt;&gt;"",H33&lt;&gt;"",I33&lt;&gt;""),"COMPLETE","MISSING FIELDS"))</f>
        <v/>
      </c>
    </row>
    <row r="34" ht="15" customHeight="1" s="15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8">
        <f>IF(A34="","",IF(COUNTIF($A$5:$A$54,A34)&gt;1,"DUPLICATE","UNIQUE"))</f>
        <v/>
      </c>
      <c r="L34" s="28">
        <f>IF(A34="","",IF(AND(B34&lt;&gt;"",C34&lt;&gt;"",D34&lt;&gt;"",E34&lt;&gt;"",F34&lt;&gt;"",G34&lt;&gt;"",H34&lt;&gt;"",I34&lt;&gt;""),"COMPLETE","MISSING FIELDS"))</f>
        <v/>
      </c>
    </row>
    <row r="35" ht="15" customHeight="1" s="1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8">
        <f>IF(A35="","",IF(COUNTIF($A$5:$A$54,A35)&gt;1,"DUPLICATE","UNIQUE"))</f>
        <v/>
      </c>
      <c r="L35" s="28">
        <f>IF(A35="","",IF(AND(B35&lt;&gt;"",C35&lt;&gt;"",D35&lt;&gt;"",E35&lt;&gt;"",F35&lt;&gt;"",G35&lt;&gt;"",H35&lt;&gt;"",I35&lt;&gt;""),"COMPLETE","MISSING FIELDS"))</f>
        <v/>
      </c>
    </row>
    <row r="36" ht="15" customHeight="1" s="15">
      <c r="A36" s="27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8">
        <f>IF(A36="","",IF(COUNTIF($A$5:$A$54,A36)&gt;1,"DUPLICATE","UNIQUE"))</f>
        <v/>
      </c>
      <c r="L36" s="28">
        <f>IF(A36="","",IF(AND(B36&lt;&gt;"",C36&lt;&gt;"",D36&lt;&gt;"",E36&lt;&gt;"",F36&lt;&gt;"",G36&lt;&gt;"",H36&lt;&gt;"",I36&lt;&gt;""),"COMPLETE","MISSING FIELDS"))</f>
        <v/>
      </c>
    </row>
    <row r="37" ht="15" customHeight="1" s="15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8">
        <f>IF(A37="","",IF(COUNTIF($A$5:$A$54,A37)&gt;1,"DUPLICATE","UNIQUE"))</f>
        <v/>
      </c>
      <c r="L37" s="28">
        <f>IF(A37="","",IF(AND(B37&lt;&gt;"",C37&lt;&gt;"",D37&lt;&gt;"",E37&lt;&gt;"",F37&lt;&gt;"",G37&lt;&gt;"",H37&lt;&gt;"",I37&lt;&gt;""),"COMPLETE","MISSING FIELDS"))</f>
        <v/>
      </c>
    </row>
    <row r="38" ht="15" customHeight="1" s="15">
      <c r="A38" s="27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8">
        <f>IF(A38="","",IF(COUNTIF($A$5:$A$54,A38)&gt;1,"DUPLICATE","UNIQUE"))</f>
        <v/>
      </c>
      <c r="L38" s="28">
        <f>IF(A38="","",IF(AND(B38&lt;&gt;"",C38&lt;&gt;"",D38&lt;&gt;"",E38&lt;&gt;"",F38&lt;&gt;"",G38&lt;&gt;"",H38&lt;&gt;"",I38&lt;&gt;""),"COMPLETE","MISSING FIELDS"))</f>
        <v/>
      </c>
    </row>
    <row r="39" ht="15" customHeight="1" s="15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8">
        <f>IF(A39="","",IF(COUNTIF($A$5:$A$54,A39)&gt;1,"DUPLICATE","UNIQUE"))</f>
        <v/>
      </c>
      <c r="L39" s="28">
        <f>IF(A39="","",IF(AND(B39&lt;&gt;"",C39&lt;&gt;"",D39&lt;&gt;"",E39&lt;&gt;"",F39&lt;&gt;"",G39&lt;&gt;"",H39&lt;&gt;"",I39&lt;&gt;""),"COMPLETE","MISSING FIELDS"))</f>
        <v/>
      </c>
    </row>
    <row r="40" ht="15" customHeight="1" s="15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8">
        <f>IF(A40="","",IF(COUNTIF($A$5:$A$54,A40)&gt;1,"DUPLICATE","UNIQUE"))</f>
        <v/>
      </c>
      <c r="L40" s="28">
        <f>IF(A40="","",IF(AND(B40&lt;&gt;"",C40&lt;&gt;"",D40&lt;&gt;"",E40&lt;&gt;"",F40&lt;&gt;"",G40&lt;&gt;"",H40&lt;&gt;"",I40&lt;&gt;""),"COMPLETE","MISSING FIELDS"))</f>
        <v/>
      </c>
    </row>
    <row r="41" ht="15" customHeight="1" s="15">
      <c r="A41" s="27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8">
        <f>IF(A41="","",IF(COUNTIF($A$5:$A$54,A41)&gt;1,"DUPLICATE","UNIQUE"))</f>
        <v/>
      </c>
      <c r="L41" s="28">
        <f>IF(A41="","",IF(AND(B41&lt;&gt;"",C41&lt;&gt;"",D41&lt;&gt;"",E41&lt;&gt;"",F41&lt;&gt;"",G41&lt;&gt;"",H41&lt;&gt;"",I41&lt;&gt;""),"COMPLETE","MISSING FIELDS"))</f>
        <v/>
      </c>
    </row>
    <row r="42" ht="15" customHeight="1" s="15">
      <c r="A42" s="27" t="n"/>
      <c r="B42" s="27" t="n"/>
      <c r="C42" s="27" t="n"/>
      <c r="D42" s="27" t="n"/>
      <c r="E42" s="27" t="n"/>
      <c r="F42" s="27" t="n"/>
      <c r="G42" s="27" t="n"/>
      <c r="H42" s="27" t="n"/>
      <c r="I42" s="27" t="n"/>
      <c r="J42" s="27" t="n"/>
      <c r="K42" s="28">
        <f>IF(A42="","",IF(COUNTIF($A$5:$A$54,A42)&gt;1,"DUPLICATE","UNIQUE"))</f>
        <v/>
      </c>
      <c r="L42" s="28">
        <f>IF(A42="","",IF(AND(B42&lt;&gt;"",C42&lt;&gt;"",D42&lt;&gt;"",E42&lt;&gt;"",F42&lt;&gt;"",G42&lt;&gt;"",H42&lt;&gt;"",I42&lt;&gt;""),"COMPLETE","MISSING FIELDS"))</f>
        <v/>
      </c>
    </row>
    <row r="43" ht="15" customHeight="1" s="15">
      <c r="A43" s="27" t="n"/>
      <c r="B43" s="27" t="n"/>
      <c r="C43" s="27" t="n"/>
      <c r="D43" s="27" t="n"/>
      <c r="E43" s="27" t="n"/>
      <c r="F43" s="27" t="n"/>
      <c r="G43" s="27" t="n"/>
      <c r="H43" s="27" t="n"/>
      <c r="I43" s="27" t="n"/>
      <c r="J43" s="27" t="n"/>
      <c r="K43" s="28">
        <f>IF(A43="","",IF(COUNTIF($A$5:$A$54,A43)&gt;1,"DUPLICATE","UNIQUE"))</f>
        <v/>
      </c>
      <c r="L43" s="28">
        <f>IF(A43="","",IF(AND(B43&lt;&gt;"",C43&lt;&gt;"",D43&lt;&gt;"",E43&lt;&gt;"",F43&lt;&gt;"",G43&lt;&gt;"",H43&lt;&gt;"",I43&lt;&gt;""),"COMPLETE","MISSING FIELDS"))</f>
        <v/>
      </c>
    </row>
    <row r="44" ht="15" customHeight="1" s="15">
      <c r="A44" s="27" t="n"/>
      <c r="B44" s="27" t="n"/>
      <c r="C44" s="27" t="n"/>
      <c r="D44" s="27" t="n"/>
      <c r="E44" s="27" t="n"/>
      <c r="F44" s="27" t="n"/>
      <c r="G44" s="27" t="n"/>
      <c r="H44" s="27" t="n"/>
      <c r="I44" s="27" t="n"/>
      <c r="J44" s="27" t="n"/>
      <c r="K44" s="28">
        <f>IF(A44="","",IF(COUNTIF($A$5:$A$54,A44)&gt;1,"DUPLICATE","UNIQUE"))</f>
        <v/>
      </c>
      <c r="L44" s="28">
        <f>IF(A44="","",IF(AND(B44&lt;&gt;"",C44&lt;&gt;"",D44&lt;&gt;"",E44&lt;&gt;"",F44&lt;&gt;"",G44&lt;&gt;"",H44&lt;&gt;"",I44&lt;&gt;""),"COMPLETE","MISSING FIELDS"))</f>
        <v/>
      </c>
    </row>
    <row r="45" ht="15" customHeight="1" s="15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8">
        <f>IF(A45="","",IF(COUNTIF($A$5:$A$54,A45)&gt;1,"DUPLICATE","UNIQUE"))</f>
        <v/>
      </c>
      <c r="L45" s="28">
        <f>IF(A45="","",IF(AND(B45&lt;&gt;"",C45&lt;&gt;"",D45&lt;&gt;"",E45&lt;&gt;"",F45&lt;&gt;"",G45&lt;&gt;"",H45&lt;&gt;"",I45&lt;&gt;""),"COMPLETE","MISSING FIELDS"))</f>
        <v/>
      </c>
    </row>
    <row r="46" ht="15" customHeight="1" s="15">
      <c r="A46" s="27" t="n"/>
      <c r="B46" s="27" t="n"/>
      <c r="C46" s="27" t="n"/>
      <c r="D46" s="27" t="n"/>
      <c r="E46" s="27" t="n"/>
      <c r="F46" s="27" t="n"/>
      <c r="G46" s="27" t="n"/>
      <c r="H46" s="27" t="n"/>
      <c r="I46" s="27" t="n"/>
      <c r="J46" s="27" t="n"/>
      <c r="K46" s="28">
        <f>IF(A46="","",IF(COUNTIF($A$5:$A$54,A46)&gt;1,"DUPLICATE","UNIQUE"))</f>
        <v/>
      </c>
      <c r="L46" s="28">
        <f>IF(A46="","",IF(AND(B46&lt;&gt;"",C46&lt;&gt;"",D46&lt;&gt;"",E46&lt;&gt;"",F46&lt;&gt;"",G46&lt;&gt;"",H46&lt;&gt;"",I46&lt;&gt;""),"COMPLETE","MISSING FIELDS"))</f>
        <v/>
      </c>
    </row>
    <row r="47" ht="15" customHeight="1" s="15">
      <c r="A47" s="27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27" t="n"/>
      <c r="K47" s="28">
        <f>IF(A47="","",IF(COUNTIF($A$5:$A$54,A47)&gt;1,"DUPLICATE","UNIQUE"))</f>
        <v/>
      </c>
      <c r="L47" s="28">
        <f>IF(A47="","",IF(AND(B47&lt;&gt;"",C47&lt;&gt;"",D47&lt;&gt;"",E47&lt;&gt;"",F47&lt;&gt;"",G47&lt;&gt;"",H47&lt;&gt;"",I47&lt;&gt;""),"COMPLETE","MISSING FIELDS"))</f>
        <v/>
      </c>
    </row>
    <row r="48" ht="15" customHeight="1" s="15">
      <c r="A48" s="27" t="n"/>
      <c r="B48" s="27" t="n"/>
      <c r="C48" s="27" t="n"/>
      <c r="D48" s="27" t="n"/>
      <c r="E48" s="27" t="n"/>
      <c r="F48" s="27" t="n"/>
      <c r="G48" s="27" t="n"/>
      <c r="H48" s="27" t="n"/>
      <c r="I48" s="27" t="n"/>
      <c r="J48" s="27" t="n"/>
      <c r="K48" s="28">
        <f>IF(A48="","",IF(COUNTIF($A$5:$A$54,A48)&gt;1,"DUPLICATE","UNIQUE"))</f>
        <v/>
      </c>
      <c r="L48" s="28">
        <f>IF(A48="","",IF(AND(B48&lt;&gt;"",C48&lt;&gt;"",D48&lt;&gt;"",E48&lt;&gt;"",F48&lt;&gt;"",G48&lt;&gt;"",H48&lt;&gt;"",I48&lt;&gt;""),"COMPLETE","MISSING FIELDS"))</f>
        <v/>
      </c>
    </row>
    <row r="49" ht="15" customHeight="1" s="15">
      <c r="A49" s="27" t="n"/>
      <c r="B49" s="27" t="n"/>
      <c r="C49" s="27" t="n"/>
      <c r="D49" s="27" t="n"/>
      <c r="E49" s="27" t="n"/>
      <c r="F49" s="27" t="n"/>
      <c r="G49" s="27" t="n"/>
      <c r="H49" s="27" t="n"/>
      <c r="I49" s="27" t="n"/>
      <c r="J49" s="27" t="n"/>
      <c r="K49" s="28">
        <f>IF(A49="","",IF(COUNTIF($A$5:$A$54,A49)&gt;1,"DUPLICATE","UNIQUE"))</f>
        <v/>
      </c>
      <c r="L49" s="28">
        <f>IF(A49="","",IF(AND(B49&lt;&gt;"",C49&lt;&gt;"",D49&lt;&gt;"",E49&lt;&gt;"",F49&lt;&gt;"",G49&lt;&gt;"",H49&lt;&gt;"",I49&lt;&gt;""),"COMPLETE","MISSING FIELDS"))</f>
        <v/>
      </c>
    </row>
    <row r="50" ht="15" customHeight="1" s="15">
      <c r="A50" s="27" t="n"/>
      <c r="B50" s="27" t="n"/>
      <c r="C50" s="27" t="n"/>
      <c r="D50" s="27" t="n"/>
      <c r="E50" s="27" t="n"/>
      <c r="F50" s="27" t="n"/>
      <c r="G50" s="27" t="n"/>
      <c r="H50" s="27" t="n"/>
      <c r="I50" s="27" t="n"/>
      <c r="J50" s="27" t="n"/>
      <c r="K50" s="28">
        <f>IF(A50="","",IF(COUNTIF($A$5:$A$54,A50)&gt;1,"DUPLICATE","UNIQUE"))</f>
        <v/>
      </c>
      <c r="L50" s="28">
        <f>IF(A50="","",IF(AND(B50&lt;&gt;"",C50&lt;&gt;"",D50&lt;&gt;"",E50&lt;&gt;"",F50&lt;&gt;"",G50&lt;&gt;"",H50&lt;&gt;"",I50&lt;&gt;""),"COMPLETE","MISSING FIELDS"))</f>
        <v/>
      </c>
    </row>
    <row r="51" ht="15" customHeight="1" s="15">
      <c r="A51" s="27" t="n"/>
      <c r="B51" s="27" t="n"/>
      <c r="C51" s="27" t="n"/>
      <c r="D51" s="27" t="n"/>
      <c r="E51" s="27" t="n"/>
      <c r="F51" s="27" t="n"/>
      <c r="G51" s="27" t="n"/>
      <c r="H51" s="27" t="n"/>
      <c r="I51" s="27" t="n"/>
      <c r="J51" s="27" t="n"/>
      <c r="K51" s="28">
        <f>IF(A51="","",IF(COUNTIF($A$5:$A$54,A51)&gt;1,"DUPLICATE","UNIQUE"))</f>
        <v/>
      </c>
      <c r="L51" s="28">
        <f>IF(A51="","",IF(AND(B51&lt;&gt;"",C51&lt;&gt;"",D51&lt;&gt;"",E51&lt;&gt;"",F51&lt;&gt;"",G51&lt;&gt;"",H51&lt;&gt;"",I51&lt;&gt;""),"COMPLETE","MISSING FIELDS"))</f>
        <v/>
      </c>
    </row>
    <row r="52" ht="15" customHeight="1" s="15">
      <c r="A52" s="27" t="n"/>
      <c r="B52" s="27" t="n"/>
      <c r="C52" s="27" t="n"/>
      <c r="D52" s="27" t="n"/>
      <c r="E52" s="27" t="n"/>
      <c r="F52" s="27" t="n"/>
      <c r="G52" s="27" t="n"/>
      <c r="H52" s="27" t="n"/>
      <c r="I52" s="27" t="n"/>
      <c r="J52" s="27" t="n"/>
      <c r="K52" s="28">
        <f>IF(A52="","",IF(COUNTIF($A$5:$A$54,A52)&gt;1,"DUPLICATE","UNIQUE"))</f>
        <v/>
      </c>
      <c r="L52" s="28">
        <f>IF(A52="","",IF(AND(B52&lt;&gt;"",C52&lt;&gt;"",D52&lt;&gt;"",E52&lt;&gt;"",F52&lt;&gt;"",G52&lt;&gt;"",H52&lt;&gt;"",I52&lt;&gt;""),"COMPLETE","MISSING FIELDS"))</f>
        <v/>
      </c>
    </row>
    <row r="53" ht="15" customHeight="1" s="15">
      <c r="A53" s="27" t="n"/>
      <c r="B53" s="27" t="n"/>
      <c r="C53" s="27" t="n"/>
      <c r="D53" s="27" t="n"/>
      <c r="E53" s="27" t="n"/>
      <c r="F53" s="27" t="n"/>
      <c r="G53" s="27" t="n"/>
      <c r="H53" s="27" t="n"/>
      <c r="I53" s="27" t="n"/>
      <c r="J53" s="27" t="n"/>
      <c r="K53" s="28">
        <f>IF(A53="","",IF(COUNTIF($A$5:$A$54,A53)&gt;1,"DUPLICATE","UNIQUE"))</f>
        <v/>
      </c>
      <c r="L53" s="28">
        <f>IF(A53="","",IF(AND(B53&lt;&gt;"",C53&lt;&gt;"",D53&lt;&gt;"",E53&lt;&gt;"",F53&lt;&gt;"",G53&lt;&gt;"",H53&lt;&gt;"",I53&lt;&gt;""),"COMPLETE","MISSING FIELDS"))</f>
        <v/>
      </c>
    </row>
    <row r="54" ht="15" customHeight="1" s="15">
      <c r="A54" s="27" t="n"/>
      <c r="B54" s="27" t="n"/>
      <c r="C54" s="27" t="n"/>
      <c r="D54" s="27" t="n"/>
      <c r="E54" s="27" t="n"/>
      <c r="F54" s="27" t="n"/>
      <c r="G54" s="27" t="n"/>
      <c r="H54" s="27" t="n"/>
      <c r="I54" s="27" t="n"/>
      <c r="J54" s="27" t="n"/>
      <c r="K54" s="28">
        <f>IF(A54="","",IF(COUNTIF($A$5:$A$54,A54)&gt;1,"DUPLICATE","UNIQUE"))</f>
        <v/>
      </c>
      <c r="L54" s="28">
        <f>IF(A54="","",IF(AND(B54&lt;&gt;"",C54&lt;&gt;"",D54&lt;&gt;"",E54&lt;&gt;"",F54&lt;&gt;"",G54&lt;&gt;"",H54&lt;&gt;"",I54&lt;&gt;""),"COMPLETE","MISSING FIELDS"))</f>
        <v/>
      </c>
    </row>
  </sheetData>
  <mergeCells count="2">
    <mergeCell ref="A2:L2"/>
    <mergeCell ref="A1:L1"/>
  </mergeCells>
  <conditionalFormatting sqref="K5:L54">
    <cfRule type="expression" rank="0" priority="2" equalAverage="0" aboveAverage="0" dxfId="0" text="" percent="0" bottom="0">
      <formula>OR(K5="DUPLICATE",L5="MISSING FIELDS",L5="ADD REASON")</formula>
    </cfRule>
  </conditionalFormatting>
  <dataValidations count="3">
    <dataValidation sqref="H5:H54" showDropDown="0" showInputMessage="0" showErrorMessage="0" allowBlank="1" type="list" errorStyle="stop" operator="between">
      <formula1>"Yes,No"</formula1>
      <formula2>0</formula2>
    </dataValidation>
    <dataValidation sqref="I5:I54" showDropDown="0" showInputMessage="0" showErrorMessage="0" allowBlank="1" type="list" errorStyle="stop" operator="between">
      <formula1>"High,Medium,Low"</formula1>
      <formula2>0</formula2>
    </dataValidation>
    <dataValidation sqref="J5:J54" showDropDown="0" showInputMessage="0" showErrorMessage="0" allowBlank="1" type="list" errorStyle="stop" operator="between">
      <formula1>"High,Medium,Low"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K8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14" min="1" max="1"/>
    <col width="14" customWidth="1" style="14" min="2" max="2"/>
    <col width="20" customWidth="1" style="14" min="3" max="3"/>
    <col width="36" customWidth="1" style="14" min="4" max="4"/>
    <col width="30" customWidth="1" style="14" min="5" max="5"/>
    <col width="34" customWidth="1" style="14" min="6" max="6"/>
    <col width="26" customWidth="1" style="14" min="7" max="7"/>
    <col width="10" customWidth="1" style="14" min="8" max="8"/>
    <col width="11" customWidth="1" style="14" min="9" max="9"/>
    <col width="12" customWidth="1" style="14" min="10" max="10"/>
    <col width="14" customWidth="1" style="14" min="11" max="11"/>
  </cols>
  <sheetData>
    <row r="1" ht="24" customHeight="1" s="15">
      <c r="A1" s="16" t="inlineStr">
        <is>
          <t>Pages and Citation Targets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8" t="n"/>
    </row>
    <row r="2" ht="31.5" customHeight="1" s="15">
      <c r="A2" s="19" t="inlineStr">
        <is>
          <t>Rows starting with P = publish-ready pages (10 required). Rows starting with C = citation targets (30 required).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8" t="n"/>
    </row>
    <row r="4" ht="30" customHeight="1" s="15">
      <c r="A4" s="21" t="inlineStr">
        <is>
          <t>item_id</t>
        </is>
      </c>
      <c r="B4" s="21" t="inlineStr">
        <is>
          <t>type</t>
        </is>
      </c>
      <c r="C4" s="21" t="inlineStr">
        <is>
          <t>target_question_ids</t>
        </is>
      </c>
      <c r="D4" s="21" t="inlineStr">
        <is>
          <t>title_or_page_url</t>
        </is>
      </c>
      <c r="E4" s="21" t="inlineStr">
        <is>
          <t>draft_or_evidence_url</t>
        </is>
      </c>
      <c r="F4" s="21" t="inlineStr">
        <is>
          <t>why_it_matters</t>
        </is>
      </c>
      <c r="G4" s="21" t="inlineStr">
        <is>
          <t>angle_or_schema</t>
        </is>
      </c>
      <c r="H4" s="21" t="inlineStr">
        <is>
          <t>sources_cited</t>
        </is>
      </c>
      <c r="I4" s="21" t="inlineStr">
        <is>
          <t>status</t>
        </is>
      </c>
      <c r="J4" s="21" t="inlineStr">
        <is>
          <t>duplicate_check</t>
        </is>
      </c>
      <c r="K4" s="21" t="inlineStr">
        <is>
          <t>completeness_check</t>
        </is>
      </c>
    </row>
    <row r="5" ht="15" customHeight="1" s="15">
      <c r="A5" s="27" t="inlineStr">
        <is>
          <t>P01</t>
        </is>
      </c>
      <c r="B5" s="27" t="inlineStr">
        <is>
          <t>Page</t>
        </is>
      </c>
      <c r="C5" s="27" t="inlineStr">
        <is>
          <t>Q001, Q002</t>
        </is>
      </c>
      <c r="D5" s="27" t="inlineStr">
        <is>
          <t>https://incubrix.com/hub/how-to-repurpose-long-video-into-shorts</t>
        </is>
      </c>
      <c r="E5" s="27" t="inlineStr">
        <is>
          <t>https://github.com/saran2006psg/incube-seo/blob/main/visibility/10_pages/01-how-to-repurpose-long-video-into-shorts.html</t>
        </is>
      </c>
      <c r="F5" s="27" t="inlineStr">
        <is>
          <t>Answers top creator search query; targets featured snippets with HowTo schema.</t>
        </is>
      </c>
      <c r="G5" s="27" t="inlineStr">
        <is>
          <t>Answer-First Schema: HowTo; direct answer in first 2 sentences.</t>
        </is>
      </c>
      <c r="H5" s="27" t="inlineStr">
        <is>
          <t>HubSpot Content Marketing Trends 2026, YouTube Creator Liaison Guidelines on Short-Form Video Retention, Sprout Social Index: Cross-Platform Repurposing Efficiency</t>
        </is>
      </c>
      <c r="I5" s="27" t="inlineStr">
        <is>
          <t>Ready</t>
        </is>
      </c>
      <c r="J5" s="28">
        <f>IF(A5="","",IF(COUNTIF($A$5:$A$84,A5)&gt;1,"DUPLICATE","UNIQUE"))</f>
        <v/>
      </c>
      <c r="K5" s="28">
        <f>IF(A5="","",IF(AND(B5&lt;&gt;"",C5&lt;&gt;"",D5&lt;&gt;"",E5&lt;&gt;"",F5&lt;&gt;"",I5&lt;&gt;""),"COMPLETE","MISSING FIELDS"))</f>
        <v/>
      </c>
    </row>
    <row r="6" ht="15" customHeight="1" s="15">
      <c r="A6" s="27" t="inlineStr">
        <is>
          <t>P02</t>
        </is>
      </c>
      <c r="B6" s="27" t="inlineStr">
        <is>
          <t>Page</t>
        </is>
      </c>
      <c r="C6" s="27" t="inlineStr">
        <is>
          <t>Q011, Q012</t>
        </is>
      </c>
      <c r="D6" s="27" t="inlineStr">
        <is>
          <t>https://incubrix.com/hub/incubrix-vs-opusclip-vs-repurpose-io</t>
        </is>
      </c>
      <c r="E6" s="27" t="inlineStr">
        <is>
          <t>https://github.com/saran2006psg/incube-seo/blob/main/visibility/10_pages/02-incubrix-vs-opusclip-vs-repurpose-io.html</t>
        </is>
      </c>
      <c r="F6" s="27" t="inlineStr">
        <is>
          <t>Answers top creator search query; targets featured snippets with Article schema.</t>
        </is>
      </c>
      <c r="G6" s="27" t="inlineStr">
        <is>
          <t>Answer-First Schema: Article; direct answer in first 2 sentences.</t>
        </is>
      </c>
      <c r="H6" s="27" t="inlineStr">
        <is>
          <t>G2 Software Reviews: Content Repurposing Category 2026, Capterra Video Editing Software Comparison Index, Creator Economy Tech Stack Benchmark Report</t>
        </is>
      </c>
      <c r="I6" s="27" t="inlineStr">
        <is>
          <t>Ready</t>
        </is>
      </c>
      <c r="J6" s="28">
        <f>IF(A6="","",IF(COUNTIF($A$5:$A$84,A6)&gt;1,"DUPLICATE","UNIQUE"))</f>
        <v/>
      </c>
      <c r="K6" s="28">
        <f>IF(A6="","",IF(AND(B6&lt;&gt;"",C6&lt;&gt;"",D6&lt;&gt;"",E6&lt;&gt;"",F6&lt;&gt;"",I6&lt;&gt;""),"COMPLETE","MISSING FIELDS"))</f>
        <v/>
      </c>
    </row>
    <row r="7" ht="15" customHeight="1" s="15">
      <c r="A7" s="27" t="inlineStr">
        <is>
          <t>P03</t>
        </is>
      </c>
      <c r="B7" s="27" t="inlineStr">
        <is>
          <t>Page</t>
        </is>
      </c>
      <c r="C7" s="27" t="inlineStr">
        <is>
          <t>Q021, Q022</t>
        </is>
      </c>
      <c r="D7" s="27" t="inlineStr">
        <is>
          <t>https://incubrix.com/hub/best-ai-content-repurposing-tools-2026</t>
        </is>
      </c>
      <c r="E7" s="27" t="inlineStr">
        <is>
          <t>https://github.com/saran2006psg/incube-seo/blob/main/visibility/10_pages/03-best-ai-content-repurposing-tools-2026.html</t>
        </is>
      </c>
      <c r="F7" s="27" t="inlineStr">
        <is>
          <t>Answers top creator search query; targets featured snippets with Article schema.</t>
        </is>
      </c>
      <c r="G7" s="27" t="inlineStr">
        <is>
          <t>Answer-First Schema: Article; direct answer in first 2 sentences.</t>
        </is>
      </c>
      <c r="H7" s="27" t="inlineStr">
        <is>
          <t>Search Engine Land: The Evolution of AI Content Tools, Content Marketing Institute: Tech Tool Stack Review, ProductHunt Best Creator Tools of the Year</t>
        </is>
      </c>
      <c r="I7" s="27" t="inlineStr">
        <is>
          <t>Ready</t>
        </is>
      </c>
      <c r="J7" s="28">
        <f>IF(A7="","",IF(COUNTIF($A$5:$A$84,A7)&gt;1,"DUPLICATE","UNIQUE"))</f>
        <v/>
      </c>
      <c r="K7" s="28">
        <f>IF(A7="","",IF(AND(B7&lt;&gt;"",C7&lt;&gt;"",D7&lt;&gt;"",E7&lt;&gt;"",F7&lt;&gt;"",I7&lt;&gt;""),"COMPLETE","MISSING FIELDS"))</f>
        <v/>
      </c>
    </row>
    <row r="8" ht="15" customHeight="1" s="15">
      <c r="A8" s="27" t="inlineStr">
        <is>
          <t>P04</t>
        </is>
      </c>
      <c r="B8" s="27" t="inlineStr">
        <is>
          <t>Page</t>
        </is>
      </c>
      <c r="C8" s="27" t="inlineStr">
        <is>
          <t>Q031, Q032</t>
        </is>
      </c>
      <c r="D8" s="27" t="inlineStr">
        <is>
          <t>https://incubrix.com/hub/how-to-edit-video-using-text-transcript</t>
        </is>
      </c>
      <c r="E8" s="27" t="inlineStr">
        <is>
          <t>https://github.com/saran2006psg/incube-seo/blob/main/visibility/10_pages/04-how-to-edit-video-using-text-transcript.html</t>
        </is>
      </c>
      <c r="F8" s="27" t="inlineStr">
        <is>
          <t>Answers top creator search query; targets featured snippets with HowTo schema.</t>
        </is>
      </c>
      <c r="G8" s="27" t="inlineStr">
        <is>
          <t>Answer-First Schema: HowTo; direct answer in first 2 sentences.</t>
        </is>
      </c>
      <c r="H8" s="27" t="inlineStr">
        <is>
          <t>Adobe Video Editing Workflow Whitepaper, Wistia State of Video Production Report, Stanford Human-Computer Interaction Video Editing Research</t>
        </is>
      </c>
      <c r="I8" s="27" t="inlineStr">
        <is>
          <t>Ready</t>
        </is>
      </c>
      <c r="J8" s="28">
        <f>IF(A8="","",IF(COUNTIF($A$5:$A$84,A8)&gt;1,"DUPLICATE","UNIQUE"))</f>
        <v/>
      </c>
      <c r="K8" s="28">
        <f>IF(A8="","",IF(AND(B8&lt;&gt;"",C8&lt;&gt;"",D8&lt;&gt;"",E8&lt;&gt;"",F8&lt;&gt;"",I8&lt;&gt;""),"COMPLETE","MISSING FIELDS"))</f>
        <v/>
      </c>
    </row>
    <row r="9" ht="15" customHeight="1" s="15">
      <c r="A9" s="27" t="inlineStr">
        <is>
          <t>P05</t>
        </is>
      </c>
      <c r="B9" s="27" t="inlineStr">
        <is>
          <t>Page</t>
        </is>
      </c>
      <c r="C9" s="27" t="inlineStr">
        <is>
          <t>Q041, Q042</t>
        </is>
      </c>
      <c r="D9" s="27" t="inlineStr">
        <is>
          <t>https://incubrix.com/hub/automate-social-media-publishing-workflow</t>
        </is>
      </c>
      <c r="E9" s="27" t="inlineStr">
        <is>
          <t>https://github.com/saran2006psg/incube-seo/blob/main/visibility/10_pages/05-automate-social-media-publishing-workflow.html</t>
        </is>
      </c>
      <c r="F9" s="27" t="inlineStr">
        <is>
          <t>Answers top creator search query; targets featured snippets with HowTo schema.</t>
        </is>
      </c>
      <c r="G9" s="27" t="inlineStr">
        <is>
          <t>Answer-First Schema: HowTo; direct answer in first 2 sentences.</t>
        </is>
      </c>
      <c r="H9" s="27" t="inlineStr">
        <is>
          <t>Meta For Developers: Instagram Graph API Best Practices, Google Developers: YouTube Data API v3 Video Uploads, LinkedIn Marketing Solutions: Video Publishing Guidelines</t>
        </is>
      </c>
      <c r="I9" s="27" t="inlineStr">
        <is>
          <t>Ready</t>
        </is>
      </c>
      <c r="J9" s="28">
        <f>IF(A9="","",IF(COUNTIF($A$5:$A$84,A9)&gt;1,"DUPLICATE","UNIQUE"))</f>
        <v/>
      </c>
      <c r="K9" s="28">
        <f>IF(A9="","",IF(AND(B9&lt;&gt;"",C9&lt;&gt;"",D9&lt;&gt;"",E9&lt;&gt;"",F9&lt;&gt;"",I9&lt;&gt;""),"COMPLETE","MISSING FIELDS"))</f>
        <v/>
      </c>
    </row>
    <row r="10" ht="15" customHeight="1" s="15">
      <c r="A10" s="27" t="inlineStr">
        <is>
          <t>P06</t>
        </is>
      </c>
      <c r="B10" s="27" t="inlineStr">
        <is>
          <t>Page</t>
        </is>
      </c>
      <c r="C10" s="27" t="inlineStr">
        <is>
          <t>Q051, Q052</t>
        </is>
      </c>
      <c r="D10" s="27" t="inlineStr">
        <is>
          <t>https://incubrix.com/hub/podcast-to-social-clips-and-newsletter-guide</t>
        </is>
      </c>
      <c r="E10" s="27" t="inlineStr">
        <is>
          <t>https://github.com/saran2006psg/incube-seo/blob/main/visibility/10_pages/06-podcast-to-social-clips-and-newsletter-guide.html</t>
        </is>
      </c>
      <c r="F10" s="27" t="inlineStr">
        <is>
          <t>Answers top creator search query; targets featured snippets with HowTo schema.</t>
        </is>
      </c>
      <c r="G10" s="27" t="inlineStr">
        <is>
          <t>Answer-First Schema: HowTo; direct answer in first 2 sentences.</t>
        </is>
      </c>
      <c r="H10" s="27" t="inlineStr">
        <is>
          <t>Podnews: The State of Video Podcasting 2026, Edison Research: Infinite Dial Podcast Consumption Study, Substack Writer Growth &amp; Content Repurposing Case Studies</t>
        </is>
      </c>
      <c r="I10" s="27" t="inlineStr">
        <is>
          <t>Ready</t>
        </is>
      </c>
      <c r="J10" s="28">
        <f>IF(A10="","",IF(COUNTIF($A$5:$A$84,A10)&gt;1,"DUPLICATE","UNIQUE"))</f>
        <v/>
      </c>
      <c r="K10" s="28">
        <f>IF(A10="","",IF(AND(B10&lt;&gt;"",C10&lt;&gt;"",D10&lt;&gt;"",E10&lt;&gt;"",F10&lt;&gt;"",I10&lt;&gt;""),"COMPLETE","MISSING FIELDS"))</f>
        <v/>
      </c>
    </row>
    <row r="11" ht="15" customHeight="1" s="15">
      <c r="A11" s="27" t="inlineStr">
        <is>
          <t>P07</t>
        </is>
      </c>
      <c r="B11" s="27" t="inlineStr">
        <is>
          <t>Page</t>
        </is>
      </c>
      <c r="C11" s="27" t="inlineStr">
        <is>
          <t>Q061, Q062</t>
        </is>
      </c>
      <c r="D11" s="27" t="inlineStr">
        <is>
          <t>https://incubrix.com/hub/ai-voice-cloning-for-creators-guide</t>
        </is>
      </c>
      <c r="E11" s="27" t="inlineStr">
        <is>
          <t>https://github.com/saran2006psg/incube-seo/blob/main/visibility/10_pages/07-ai-voice-cloning-for-creators-guide.html</t>
        </is>
      </c>
      <c r="F11" s="27" t="inlineStr">
        <is>
          <t>Answers top creator search query; targets featured snippets with Article schema.</t>
        </is>
      </c>
      <c r="G11" s="27" t="inlineStr">
        <is>
          <t>Answer-First Schema: Article; direct answer in first 2 sentences.</t>
        </is>
      </c>
      <c r="H11" s="27" t="inlineStr">
        <is>
          <t>ElevenLabs Voice Synthesis &amp; Creator Authenticity Standards, MIT Technology Review: The Ethics of Generative Voice Cloning, FCC / FTC Guidance on Voice Synthesis and Consumer Transparency</t>
        </is>
      </c>
      <c r="I11" s="27" t="inlineStr">
        <is>
          <t>Ready</t>
        </is>
      </c>
      <c r="J11" s="28">
        <f>IF(A11="","",IF(COUNTIF($A$5:$A$84,A11)&gt;1,"DUPLICATE","UNIQUE"))</f>
        <v/>
      </c>
      <c r="K11" s="28">
        <f>IF(A11="","",IF(AND(B11&lt;&gt;"",C11&lt;&gt;"",D11&lt;&gt;"",E11&lt;&gt;"",F11&lt;&gt;"",I11&lt;&gt;""),"COMPLETE","MISSING FIELDS"))</f>
        <v/>
      </c>
    </row>
    <row r="12" ht="15" customHeight="1" s="15">
      <c r="A12" s="27" t="inlineStr">
        <is>
          <t>P08</t>
        </is>
      </c>
      <c r="B12" s="27" t="inlineStr">
        <is>
          <t>Page</t>
        </is>
      </c>
      <c r="C12" s="27" t="inlineStr">
        <is>
          <t>Q071, Q072</t>
        </is>
      </c>
      <c r="D12" s="27" t="inlineStr">
        <is>
          <t>https://incubrix.com/hub/auto-caption-generator-styled-subtitles</t>
        </is>
      </c>
      <c r="E12" s="27" t="inlineStr">
        <is>
          <t>https://github.com/saran2006psg/incube-seo/blob/main/visibility/10_pages/08-auto-caption-generator-styled-subtitles.html</t>
        </is>
      </c>
      <c r="F12" s="27" t="inlineStr">
        <is>
          <t>Answers top creator search query; targets featured snippets with HowTo schema.</t>
        </is>
      </c>
      <c r="G12" s="27" t="inlineStr">
        <is>
          <t>Answer-First Schema: HowTo; direct answer in first 2 sentences.</t>
        </is>
      </c>
      <c r="H12" s="27" t="inlineStr">
        <is>
          <t>Verizon Media Study: Video Consumption Without Sound, W3C Web Content Accessibility Guidelines (WCAG 2.2 Subtitles), TikTok for Business: Subtitle &amp; Retention Optimization</t>
        </is>
      </c>
      <c r="I12" s="27" t="inlineStr">
        <is>
          <t>Ready</t>
        </is>
      </c>
      <c r="J12" s="28">
        <f>IF(A12="","",IF(COUNTIF($A$5:$A$84,A12)&gt;1,"DUPLICATE","UNIQUE"))</f>
        <v/>
      </c>
      <c r="K12" s="28">
        <f>IF(A12="","",IF(AND(B12&lt;&gt;"",C12&lt;&gt;"",D12&lt;&gt;"",E12&lt;&gt;"",F12&lt;&gt;"",I12&lt;&gt;""),"COMPLETE","MISSING FIELDS"))</f>
        <v/>
      </c>
    </row>
    <row r="13" ht="15" customHeight="1" s="15">
      <c r="A13" s="27" t="inlineStr">
        <is>
          <t>P09</t>
        </is>
      </c>
      <c r="B13" s="27" t="inlineStr">
        <is>
          <t>Page</t>
        </is>
      </c>
      <c r="C13" s="27" t="inlineStr">
        <is>
          <t>Q081, Q082</t>
        </is>
      </c>
      <c r="D13" s="27" t="inlineStr">
        <is>
          <t>https://incubrix.com/hub/creator-ops-how-to-scale-solo-content-production</t>
        </is>
      </c>
      <c r="E13" s="27" t="inlineStr">
        <is>
          <t>https://github.com/saran2006psg/incube-seo/blob/main/visibility/10_pages/09-creator-ops-how-to-scale-solo-content-production.html</t>
        </is>
      </c>
      <c r="F13" s="27" t="inlineStr">
        <is>
          <t>Answers top creator search query; targets featured snippets with Article schema.</t>
        </is>
      </c>
      <c r="G13" s="27" t="inlineStr">
        <is>
          <t>Answer-First Schema: Article; direct answer in first 2 sentences.</t>
        </is>
      </c>
      <c r="H13" s="27" t="inlineStr">
        <is>
          <t>The Information: Creator Economy Workflow &amp; Infrastructure, Harvard Business Review: The Rise of the Solo Creator Enterprise, ConvertKit State of the Creator Economy Report</t>
        </is>
      </c>
      <c r="I13" s="27" t="inlineStr">
        <is>
          <t>Ready</t>
        </is>
      </c>
      <c r="J13" s="28">
        <f>IF(A13="","",IF(COUNTIF($A$5:$A$84,A13)&gt;1,"DUPLICATE","UNIQUE"))</f>
        <v/>
      </c>
      <c r="K13" s="28">
        <f>IF(A13="","",IF(AND(B13&lt;&gt;"",C13&lt;&gt;"",D13&lt;&gt;"",E13&lt;&gt;"",F13&lt;&gt;"",I13&lt;&gt;""),"COMPLETE","MISSING FIELDS"))</f>
        <v/>
      </c>
    </row>
    <row r="14" ht="15" customHeight="1" s="15">
      <c r="A14" s="27" t="inlineStr">
        <is>
          <t>P10</t>
        </is>
      </c>
      <c r="B14" s="27" t="inlineStr">
        <is>
          <t>Page</t>
        </is>
      </c>
      <c r="C14" s="27" t="inlineStr">
        <is>
          <t>Q091, Q092</t>
        </is>
      </c>
      <c r="D14" s="27" t="inlineStr">
        <is>
          <t>https://incubrix.com/hub/incubrix-vs-descript-comparison</t>
        </is>
      </c>
      <c r="E14" s="27" t="inlineStr">
        <is>
          <t>https://github.com/saran2006psg/incube-seo/blob/main/visibility/10_pages/10-incubrix-vs-descript-comparison.html</t>
        </is>
      </c>
      <c r="F14" s="27" t="inlineStr">
        <is>
          <t>Answers top creator search query; targets featured snippets with Article schema.</t>
        </is>
      </c>
      <c r="G14" s="27" t="inlineStr">
        <is>
          <t>Answer-First Schema: Article; direct answer in first 2 sentences.</t>
        </is>
      </c>
      <c r="H14" s="27" t="inlineStr">
        <is>
          <t>TechRadar Pro: Best Video Editing Software 2026, PCMag: AI Video Production Software Reviews, Creator Insider YouTube Engineering Channel</t>
        </is>
      </c>
      <c r="I14" s="27" t="inlineStr">
        <is>
          <t>Ready</t>
        </is>
      </c>
      <c r="J14" s="28">
        <f>IF(A14="","",IF(COUNTIF($A$5:$A$84,A14)&gt;1,"DUPLICATE","UNIQUE"))</f>
        <v/>
      </c>
      <c r="K14" s="28">
        <f>IF(A14="","",IF(AND(B14&lt;&gt;"",C14&lt;&gt;"",D14&lt;&gt;"",E14&lt;&gt;"",F14&lt;&gt;"",I14&lt;&gt;""),"COMPLETE","MISSING FIELDS"))</f>
        <v/>
      </c>
    </row>
    <row r="15" ht="15" customHeight="1" s="15">
      <c r="A15" s="27" t="inlineStr">
        <is>
          <t>C01</t>
        </is>
      </c>
      <c r="B15" s="27" t="inlineStr">
        <is>
          <t>Citation target</t>
        </is>
      </c>
      <c r="C15" s="27" t="inlineStr">
        <is>
          <t>Q001</t>
        </is>
      </c>
      <c r="D15" s="27" t="inlineStr">
        <is>
          <t>https://www.g2.com/categories/content-repurposing</t>
        </is>
      </c>
      <c r="E15" s="27" t="inlineStr">
        <is>
          <t>https://github.com/saran2006psg/incube-seo/blob/main/visibility/citation_plan/citation_plan.md#cit-01</t>
        </is>
      </c>
      <c r="F15" s="27" t="inlineStr">
        <is>
          <t>G2 is ChatGPT and Perplexity's primary ground truth for B2B/creator software category listings, user ratings, and feature matrices.</t>
        </is>
      </c>
      <c r="G15" s="27" t="inlineStr">
        <is>
          <t>Claim IncuBrix official profile, list under 'Content Repurposing' and 'Video Editing', submit verified customer reviews to earn 'High Performer' grid badge.</t>
        </is>
      </c>
      <c r="H15" s="27" t="inlineStr">
        <is>
          <t>G2</t>
        </is>
      </c>
      <c r="I15" s="27" t="inlineStr">
        <is>
          <t>Targeted</t>
        </is>
      </c>
      <c r="J15" s="28">
        <f>IF(A15="","",IF(COUNTIF($A$5:$A$84,A15)&gt;1,"DUPLICATE","UNIQUE"))</f>
        <v/>
      </c>
      <c r="K15" s="28">
        <f>IF(A15="","",IF(AND(B15&lt;&gt;"",C15&lt;&gt;"",D15&lt;&gt;"",E15&lt;&gt;"",F15&lt;&gt;"",I15&lt;&gt;""),"COMPLETE","MISSING FIELDS"))</f>
        <v/>
      </c>
    </row>
    <row r="16" ht="15" customHeight="1" s="15">
      <c r="A16" s="27" t="inlineStr">
        <is>
          <t>C02</t>
        </is>
      </c>
      <c r="B16" s="27" t="inlineStr">
        <is>
          <t>Citation target</t>
        </is>
      </c>
      <c r="C16" s="27" t="inlineStr">
        <is>
          <t>Q004</t>
        </is>
      </c>
      <c r="D16" s="27" t="inlineStr">
        <is>
          <t>https://www.capterra.com/video-editing-software/</t>
        </is>
      </c>
      <c r="E16" s="27" t="inlineStr">
        <is>
          <t>https://github.com/saran2006psg/incube-seo/blob/main/visibility/citation_plan/citation_plan.md#cit-02</t>
        </is>
      </c>
      <c r="F16" s="27" t="inlineStr">
        <is>
          <t>Google AI Overviews frequently pull feature comparison tables and pros/cons directly from Gartner Digital Markets (Capterra/GetApp).</t>
        </is>
      </c>
      <c r="G16" s="27" t="inlineStr">
        <is>
          <t>Submit IncuBrix with verified SaaS feature checklist: text-based video editing, 9:16 vertical crop, and native social scheduling.</t>
        </is>
      </c>
      <c r="H16" s="27" t="inlineStr">
        <is>
          <t>Capterra (Gartner)</t>
        </is>
      </c>
      <c r="I16" s="27" t="inlineStr">
        <is>
          <t>Targeted</t>
        </is>
      </c>
      <c r="J16" s="28">
        <f>IF(A16="","",IF(COUNTIF($A$5:$A$84,A16)&gt;1,"DUPLICATE","UNIQUE"))</f>
        <v/>
      </c>
      <c r="K16" s="28">
        <f>IF(A16="","",IF(AND(B16&lt;&gt;"",C16&lt;&gt;"",D16&lt;&gt;"",E16&lt;&gt;"",F16&lt;&gt;"",I16&lt;&gt;""),"COMPLETE","MISSING FIELDS"))</f>
        <v/>
      </c>
    </row>
    <row r="17" ht="15" customHeight="1" s="15">
      <c r="A17" s="27" t="inlineStr">
        <is>
          <t>C03</t>
        </is>
      </c>
      <c r="B17" s="27" t="inlineStr">
        <is>
          <t>Citation target</t>
        </is>
      </c>
      <c r="C17" s="27" t="inlineStr">
        <is>
          <t>Q007</t>
        </is>
      </c>
      <c r="D17" s="27" t="inlineStr">
        <is>
          <t>https://www.producthunt.com/topics/creator-tools</t>
        </is>
      </c>
      <c r="E17" s="27" t="inlineStr">
        <is>
          <t>https://github.com/saran2006psg/incube-seo/blob/main/visibility/citation_plan/citation_plan.md#cit-03</t>
        </is>
      </c>
      <c r="F17" s="27" t="inlineStr">
        <is>
          <t>AI assistants index Product Hunt launches to recognize new tools, maker identity, and community upvotes for 'emerging alternatives'.</t>
        </is>
      </c>
      <c r="G17" s="27" t="inlineStr">
        <is>
          <t>Execute an official Product Hunt launch for IncuBrix 2.0; mobilize user community for #1 Product of the Day in Creator Tools.</t>
        </is>
      </c>
      <c r="H17" s="27" t="inlineStr">
        <is>
          <t>Product Hunt</t>
        </is>
      </c>
      <c r="I17" s="27" t="inlineStr">
        <is>
          <t>Targeted</t>
        </is>
      </c>
      <c r="J17" s="28">
        <f>IF(A17="","",IF(COUNTIF($A$5:$A$84,A17)&gt;1,"DUPLICATE","UNIQUE"))</f>
        <v/>
      </c>
      <c r="K17" s="28">
        <f>IF(A17="","",IF(AND(B17&lt;&gt;"",C17&lt;&gt;"",D17&lt;&gt;"",E17&lt;&gt;"",F17&lt;&gt;"",I17&lt;&gt;""),"COMPLETE","MISSING FIELDS"))</f>
        <v/>
      </c>
    </row>
    <row r="18" ht="15" customHeight="1" s="15">
      <c r="A18" s="27" t="inlineStr">
        <is>
          <t>C04</t>
        </is>
      </c>
      <c r="B18" s="27" t="inlineStr">
        <is>
          <t>Citation target</t>
        </is>
      </c>
      <c r="C18" s="27" t="inlineStr">
        <is>
          <t>Q010</t>
        </is>
      </c>
      <c r="D18" s="27" t="inlineStr">
        <is>
          <t>https://zapier.com/blog/best-ai-video-generator/</t>
        </is>
      </c>
      <c r="E18" s="27" t="inlineStr">
        <is>
          <t>https://github.com/saran2006psg/incube-seo/blob/main/visibility/citation_plan/citation_plan.md#cit-04</t>
        </is>
      </c>
      <c r="F18" s="27" t="inlineStr">
        <is>
          <t>Zapier blog is ranked #1 in Google and quoted by Google AI Overviews and Perplexity for all multi-tool workflow roundups.</t>
        </is>
      </c>
      <c r="G18" s="27" t="inlineStr">
        <is>
          <t>Pitch editorial update for 'Best tool to turn 1 video into 10 multi-network formats' showcasing IncuBrix's unified editing + distribution.</t>
        </is>
      </c>
      <c r="H18" s="27" t="inlineStr">
        <is>
          <t>Zapier Blog</t>
        </is>
      </c>
      <c r="I18" s="27" t="inlineStr">
        <is>
          <t>Targeted</t>
        </is>
      </c>
      <c r="J18" s="28">
        <f>IF(A18="","",IF(COUNTIF($A$5:$A$84,A18)&gt;1,"DUPLICATE","UNIQUE"))</f>
        <v/>
      </c>
      <c r="K18" s="28">
        <f>IF(A18="","",IF(AND(B18&lt;&gt;"",C18&lt;&gt;"",D18&lt;&gt;"",E18&lt;&gt;"",F18&lt;&gt;"",I18&lt;&gt;""),"COMPLETE","MISSING FIELDS"))</f>
        <v/>
      </c>
    </row>
    <row r="19" ht="15" customHeight="1" s="15">
      <c r="A19" s="27" t="inlineStr">
        <is>
          <t>C05</t>
        </is>
      </c>
      <c r="B19" s="27" t="inlineStr">
        <is>
          <t>Citation target</t>
        </is>
      </c>
      <c r="C19" s="27" t="inlineStr">
        <is>
          <t>Q013</t>
        </is>
      </c>
      <c r="D19" s="27" t="inlineStr">
        <is>
          <t>https://blog.hubspot.com/marketing/content-repurposing</t>
        </is>
      </c>
      <c r="E19" s="27" t="inlineStr">
        <is>
          <t>https://github.com/saran2006psg/incube-seo/blob/main/visibility/citation_plan/citation_plan.md#cit-05</t>
        </is>
      </c>
      <c r="F19" s="27" t="inlineStr">
        <is>
          <t>HubSpot's content repurposing guide is the canonical citation source for marketing definitions, statistics, and tool recommendations.</t>
        </is>
      </c>
      <c r="G19" s="27" t="inlineStr">
        <is>
          <t>Contribute a guest workflow teardown or original dataset: 'How automated repurposing cuts 12 hours from creator workweeks'.</t>
        </is>
      </c>
      <c r="H19" s="27" t="inlineStr">
        <is>
          <t>HubSpot Marketing Blog</t>
        </is>
      </c>
      <c r="I19" s="27" t="inlineStr">
        <is>
          <t>Targeted</t>
        </is>
      </c>
      <c r="J19" s="28">
        <f>IF(A19="","",IF(COUNTIF($A$5:$A$84,A19)&gt;1,"DUPLICATE","UNIQUE"))</f>
        <v/>
      </c>
      <c r="K19" s="28">
        <f>IF(A19="","",IF(AND(B19&lt;&gt;"",C19&lt;&gt;"",D19&lt;&gt;"",E19&lt;&gt;"",F19&lt;&gt;"",I19&lt;&gt;""),"COMPLETE","MISSING FIELDS"))</f>
        <v/>
      </c>
    </row>
    <row r="20" ht="15" customHeight="1" s="15">
      <c r="A20" s="27" t="inlineStr">
        <is>
          <t>C06</t>
        </is>
      </c>
      <c r="B20" s="27" t="inlineStr">
        <is>
          <t>Citation target</t>
        </is>
      </c>
      <c r="C20" s="27" t="inlineStr">
        <is>
          <t>Q016</t>
        </is>
      </c>
      <c r="D20" s="27" t="inlineStr">
        <is>
          <t>https://sproutsocial.com/insights/social-media-video-tools/</t>
        </is>
      </c>
      <c r="E20" s="27" t="inlineStr">
        <is>
          <t>https://github.com/saran2006psg/incube-seo/blob/main/visibility/citation_plan/citation_plan.md#cit-06</t>
        </is>
      </c>
      <c r="F20" s="27" t="inlineStr">
        <is>
          <t>Cited by Gemini and Claude when creators ask about enterprise and solopreneur social media management and publishing tools.</t>
        </is>
      </c>
      <c r="G20" s="27" t="inlineStr">
        <is>
          <t>Submit IncuBrix as the featured modern CreatorOps tool that bridges video production directly with multi-platform scheduling.</t>
        </is>
      </c>
      <c r="H20" s="27" t="inlineStr">
        <is>
          <t>Sprout Social Insights</t>
        </is>
      </c>
      <c r="I20" s="27" t="inlineStr">
        <is>
          <t>Targeted</t>
        </is>
      </c>
      <c r="J20" s="28">
        <f>IF(A20="","",IF(COUNTIF($A$5:$A$84,A20)&gt;1,"DUPLICATE","UNIQUE"))</f>
        <v/>
      </c>
      <c r="K20" s="28">
        <f>IF(A20="","",IF(AND(B20&lt;&gt;"",C20&lt;&gt;"",D20&lt;&gt;"",E20&lt;&gt;"",F20&lt;&gt;"",I20&lt;&gt;""),"COMPLETE","MISSING FIELDS"))</f>
        <v/>
      </c>
    </row>
    <row r="21" ht="15" customHeight="1" s="15">
      <c r="A21" s="27" t="inlineStr">
        <is>
          <t>C07</t>
        </is>
      </c>
      <c r="B21" s="27" t="inlineStr">
        <is>
          <t>Citation target</t>
        </is>
      </c>
      <c r="C21" s="27" t="inlineStr">
        <is>
          <t>Q019</t>
        </is>
      </c>
      <c r="D21" s="27" t="inlineStr">
        <is>
          <t>https://searchengineland.com/ai-content-tools-growth-437890</t>
        </is>
      </c>
      <c r="E21" s="27" t="inlineStr">
        <is>
          <t>https://github.com/saran2006psg/incube-seo/blob/main/visibility/citation_plan/citation_plan.md#cit-07</t>
        </is>
      </c>
      <c r="F21" s="27" t="inlineStr">
        <is>
          <t>Perplexity and ChatGPT cite Search Engine Land for authoritative coverage of AEO, GEO, and AI content technology ecosystems.</t>
        </is>
      </c>
      <c r="G21" s="27" t="inlineStr">
        <is>
          <t>Provide expert commentary from IncuBrix founders on how AI assistants index video content and the shift toward CreatorOps systems.</t>
        </is>
      </c>
      <c r="H21" s="27" t="inlineStr">
        <is>
          <t>Search Engine Land</t>
        </is>
      </c>
      <c r="I21" s="27" t="inlineStr">
        <is>
          <t>Targeted</t>
        </is>
      </c>
      <c r="J21" s="28">
        <f>IF(A21="","",IF(COUNTIF($A$5:$A$84,A21)&gt;1,"DUPLICATE","UNIQUE"))</f>
        <v/>
      </c>
      <c r="K21" s="28">
        <f>IF(A21="","",IF(AND(B21&lt;&gt;"",C21&lt;&gt;"",D21&lt;&gt;"",E21&lt;&gt;"",F21&lt;&gt;"",I21&lt;&gt;""),"COMPLETE","MISSING FIELDS"))</f>
        <v/>
      </c>
    </row>
    <row r="22" ht="15" customHeight="1" s="15">
      <c r="A22" s="27" t="inlineStr">
        <is>
          <t>C08</t>
        </is>
      </c>
      <c r="B22" s="27" t="inlineStr">
        <is>
          <t>Citation target</t>
        </is>
      </c>
      <c r="C22" s="27" t="inlineStr">
        <is>
          <t>Q022</t>
        </is>
      </c>
      <c r="D22" s="27" t="inlineStr">
        <is>
          <t>https://www.socialmediaexaminer.com/how-to-repurpose-video-content-for-social-media/</t>
        </is>
      </c>
      <c r="E22" s="27" t="inlineStr">
        <is>
          <t>https://github.com/saran2006psg/incube-seo/blob/main/visibility/citation_plan/citation_plan.md#cit-08</t>
        </is>
      </c>
      <c r="F22" s="27" t="inlineStr">
        <is>
          <t>Top resource for creators seeking practical social media strategies; heavily referenced in AI Overview answer boxes.</t>
        </is>
      </c>
      <c r="G22" s="27" t="inlineStr">
        <is>
          <t>Pitch an in-depth tutorial article with Michael Stelzner's editorial team on 'The 1-to-10 Repurposing Framework'.</t>
        </is>
      </c>
      <c r="H22" s="27" t="inlineStr">
        <is>
          <t>Social Media Examiner</t>
        </is>
      </c>
      <c r="I22" s="27" t="inlineStr">
        <is>
          <t>Targeted</t>
        </is>
      </c>
      <c r="J22" s="28">
        <f>IF(A22="","",IF(COUNTIF($A$5:$A$84,A22)&gt;1,"DUPLICATE","UNIQUE"))</f>
        <v/>
      </c>
      <c r="K22" s="28">
        <f>IF(A22="","",IF(AND(B22&lt;&gt;"",C22&lt;&gt;"",D22&lt;&gt;"",E22&lt;&gt;"",F22&lt;&gt;"",I22&lt;&gt;""),"COMPLETE","MISSING FIELDS"))</f>
        <v/>
      </c>
    </row>
    <row r="23" ht="15" customHeight="1" s="15">
      <c r="A23" s="27" t="inlineStr">
        <is>
          <t>C09</t>
        </is>
      </c>
      <c r="B23" s="27" t="inlineStr">
        <is>
          <t>Citation target</t>
        </is>
      </c>
      <c r="C23" s="27" t="inlineStr">
        <is>
          <t>Q025</t>
        </is>
      </c>
      <c r="D23" s="27" t="inlineStr">
        <is>
          <t>https://podnews.net/article/video-podcast-statistics</t>
        </is>
      </c>
      <c r="E23" s="27" t="inlineStr">
        <is>
          <t>https://github.com/saran2006psg/incube-seo/blob/main/visibility/citation_plan/citation_plan.md#cit-09</t>
        </is>
      </c>
      <c r="F23" s="27" t="inlineStr">
        <is>
          <t>AI assistants cite Podnews for all podcast tech, Spotify video distribution, and audiogram workflow answers.</t>
        </is>
      </c>
      <c r="G23" s="27" t="inlineStr">
        <is>
          <t>Press release and product teardown on IncuBrix's direct Spotify Video Podcast API integration and automated show-note generator.</t>
        </is>
      </c>
      <c r="H23" s="27" t="inlineStr">
        <is>
          <t>Podnews</t>
        </is>
      </c>
      <c r="I23" s="27" t="inlineStr">
        <is>
          <t>Targeted</t>
        </is>
      </c>
      <c r="J23" s="28">
        <f>IF(A23="","",IF(COUNTIF($A$5:$A$84,A23)&gt;1,"DUPLICATE","UNIQUE"))</f>
        <v/>
      </c>
      <c r="K23" s="28">
        <f>IF(A23="","",IF(AND(B23&lt;&gt;"",C23&lt;&gt;"",D23&lt;&gt;"",E23&lt;&gt;"",F23&lt;&gt;"",I23&lt;&gt;""),"COMPLETE","MISSING FIELDS"))</f>
        <v/>
      </c>
    </row>
    <row r="24" ht="15" customHeight="1" s="15">
      <c r="A24" s="27" t="inlineStr">
        <is>
          <t>C10</t>
        </is>
      </c>
      <c r="B24" s="27" t="inlineStr">
        <is>
          <t>Citation target</t>
        </is>
      </c>
      <c r="C24" s="27" t="inlineStr">
        <is>
          <t>Q028</t>
        </is>
      </c>
      <c r="D24" s="27" t="inlineStr">
        <is>
          <t>https://tubefilter.com/creator-tools-guide/</t>
        </is>
      </c>
      <c r="E24" s="27" t="inlineStr">
        <is>
          <t>https://github.com/saran2006psg/incube-seo/blob/main/visibility/citation_plan/citation_plan.md#cit-10</t>
        </is>
      </c>
      <c r="F24" s="27" t="inlineStr">
        <is>
          <t>Primary news source for full-time YouTube creators and managers; quoted by AI assistants for YouTube production tools.</t>
        </is>
      </c>
      <c r="G24" s="27" t="inlineStr">
        <is>
          <t>Pitch feature profile on how top YouTube creators use IncuBrix to turn horizontal long-form videos into Shorts without hiring an editor.</t>
        </is>
      </c>
      <c r="H24" s="27" t="inlineStr">
        <is>
          <t>Tubefilter</t>
        </is>
      </c>
      <c r="I24" s="27" t="inlineStr">
        <is>
          <t>Targeted</t>
        </is>
      </c>
      <c r="J24" s="28">
        <f>IF(A24="","",IF(COUNTIF($A$5:$A$84,A24)&gt;1,"DUPLICATE","UNIQUE"))</f>
        <v/>
      </c>
      <c r="K24" s="28">
        <f>IF(A24="","",IF(AND(B24&lt;&gt;"",C24&lt;&gt;"",D24&lt;&gt;"",E24&lt;&gt;"",F24&lt;&gt;"",I24&lt;&gt;""),"COMPLETE","MISSING FIELDS"))</f>
        <v/>
      </c>
    </row>
    <row r="25" ht="15" customHeight="1" s="15">
      <c r="A25" s="27" t="inlineStr">
        <is>
          <t>C11</t>
        </is>
      </c>
      <c r="B25" s="27" t="inlineStr">
        <is>
          <t>Citation target</t>
        </is>
      </c>
      <c r="C25" s="27" t="inlineStr">
        <is>
          <t>Q031</t>
        </is>
      </c>
      <c r="D25" s="27" t="inlineStr">
        <is>
          <t>https://www.reddit.com/r/NewTubers/comments/video_repurposing_tools/</t>
        </is>
      </c>
      <c r="E25" s="27" t="inlineStr">
        <is>
          <t>https://github.com/saran2006psg/incube-seo/blob/main/visibility/citation_plan/citation_plan.md#cit-11</t>
        </is>
      </c>
      <c r="F25" s="27" t="inlineStr">
        <is>
          <t>Google's direct Reddit licensing deal places Reddit threads in Google Discussions &amp; Forums and AI Overviews for 70%+ of creator queries.</t>
        </is>
      </c>
      <c r="G25" s="27" t="inlineStr">
        <is>
          <t>Participate organically with founder AMA or detailed workflow case study sharing real video metrics before and after automated repurposing.</t>
        </is>
      </c>
      <c r="H25" s="27" t="inlineStr">
        <is>
          <t>Reddit (r/NewTubers)</t>
        </is>
      </c>
      <c r="I25" s="27" t="inlineStr">
        <is>
          <t>Targeted</t>
        </is>
      </c>
      <c r="J25" s="28">
        <f>IF(A25="","",IF(COUNTIF($A$5:$A$84,A25)&gt;1,"DUPLICATE","UNIQUE"))</f>
        <v/>
      </c>
      <c r="K25" s="28">
        <f>IF(A25="","",IF(AND(B25&lt;&gt;"",C25&lt;&gt;"",D25&lt;&gt;"",E25&lt;&gt;"",F25&lt;&gt;"",I25&lt;&gt;""),"COMPLETE","MISSING FIELDS"))</f>
        <v/>
      </c>
    </row>
    <row r="26" ht="15" customHeight="1" s="15">
      <c r="A26" s="27" t="inlineStr">
        <is>
          <t>C12</t>
        </is>
      </c>
      <c r="B26" s="27" t="inlineStr">
        <is>
          <t>Citation target</t>
        </is>
      </c>
      <c r="C26" s="27" t="inlineStr">
        <is>
          <t>Q034</t>
        </is>
      </c>
      <c r="D26" s="27" t="inlineStr">
        <is>
          <t>https://www.reddit.com/r/VideoEditing/comments/text_based_video_editors/</t>
        </is>
      </c>
      <c r="E26" s="27" t="inlineStr">
        <is>
          <t>https://github.com/saran2006psg/incube-seo/blob/main/visibility/citation_plan/citation_plan.md#cit-12</t>
        </is>
      </c>
      <c r="F26" s="27" t="inlineStr">
        <is>
          <t>Consistently cited by Perplexity when users ask 'can I edit video by deleting transcript words'.</t>
        </is>
      </c>
      <c r="G26" s="27" t="inlineStr">
        <is>
          <t>Share technical breakdown of IncuBrix's browser-based GPU rendering and word-level speech alignment compared to desktop NLEs.</t>
        </is>
      </c>
      <c r="H26" s="27" t="inlineStr">
        <is>
          <t>Reddit (r/VideoEditing)</t>
        </is>
      </c>
      <c r="I26" s="27" t="inlineStr">
        <is>
          <t>Targeted</t>
        </is>
      </c>
      <c r="J26" s="28">
        <f>IF(A26="","",IF(COUNTIF($A$5:$A$84,A26)&gt;1,"DUPLICATE","UNIQUE"))</f>
        <v/>
      </c>
      <c r="K26" s="28">
        <f>IF(A26="","",IF(AND(B26&lt;&gt;"",C26&lt;&gt;"",D26&lt;&gt;"",E26&lt;&gt;"",F26&lt;&gt;"",I26&lt;&gt;""),"COMPLETE","MISSING FIELDS"))</f>
        <v/>
      </c>
    </row>
    <row r="27" ht="15" customHeight="1" s="15">
      <c r="A27" s="27" t="inlineStr">
        <is>
          <t>C13</t>
        </is>
      </c>
      <c r="B27" s="27" t="inlineStr">
        <is>
          <t>Citation target</t>
        </is>
      </c>
      <c r="C27" s="27" t="inlineStr">
        <is>
          <t>Q037</t>
        </is>
      </c>
      <c r="D27" s="27" t="inlineStr">
        <is>
          <t>https://www.reddit.com/r/ContentCreation/comments/best_all_in_one_tools/</t>
        </is>
      </c>
      <c r="E27" s="27" t="inlineStr">
        <is>
          <t>https://github.com/saran2006psg/incube-seo/blob/main/visibility/citation_plan/citation_plan.md#cit-13</t>
        </is>
      </c>
      <c r="F27" s="27" t="inlineStr">
        <is>
          <t>Frequently extracted by Google AI Overviews for recommendations on solopreneur content tech stacks.</t>
        </is>
      </c>
      <c r="G27" s="27" t="inlineStr">
        <is>
          <t>Provide unbiased comparative guide explaining when to use dedicated clippers vs an all-in-one Creator OS.</t>
        </is>
      </c>
      <c r="H27" s="27" t="inlineStr">
        <is>
          <t>Reddit (r/ContentCreation)</t>
        </is>
      </c>
      <c r="I27" s="27" t="inlineStr">
        <is>
          <t>Targeted</t>
        </is>
      </c>
      <c r="J27" s="28">
        <f>IF(A27="","",IF(COUNTIF($A$5:$A$84,A27)&gt;1,"DUPLICATE","UNIQUE"))</f>
        <v/>
      </c>
      <c r="K27" s="28">
        <f>IF(A27="","",IF(AND(B27&lt;&gt;"",C27&lt;&gt;"",D27&lt;&gt;"",E27&lt;&gt;"",F27&lt;&gt;"",I27&lt;&gt;""),"COMPLETE","MISSING FIELDS"))</f>
        <v/>
      </c>
    </row>
    <row r="28" ht="15" customHeight="1" s="15">
      <c r="A28" s="27" t="inlineStr">
        <is>
          <t>C14</t>
        </is>
      </c>
      <c r="B28" s="27" t="inlineStr">
        <is>
          <t>Citation target</t>
        </is>
      </c>
      <c r="C28" s="27" t="inlineStr">
        <is>
          <t>Q040</t>
        </is>
      </c>
      <c r="D28" s="27" t="inlineStr">
        <is>
          <t>https://www.reddit.com/r/podcasting/comments/podcast_clips_for_tiktok/</t>
        </is>
      </c>
      <c r="E28" s="27" t="inlineStr">
        <is>
          <t>https://github.com/saran2006psg/incube-seo/blob/main/visibility/citation_plan/citation_plan.md#cit-14</t>
        </is>
      </c>
      <c r="F28" s="27" t="inlineStr">
        <is>
          <t>Quoted by Claude and Gemini when podcasters ask how to grow audiences through short vertical clips.</t>
        </is>
      </c>
      <c r="G28" s="27" t="inlineStr">
        <is>
          <t>Detailed step-by-step tutorial on automated multi-speaker framing and dynamic caption animations for podcast hosts.</t>
        </is>
      </c>
      <c r="H28" s="27" t="inlineStr">
        <is>
          <t>Reddit (r/podcasting)</t>
        </is>
      </c>
      <c r="I28" s="27" t="inlineStr">
        <is>
          <t>Targeted</t>
        </is>
      </c>
      <c r="J28" s="28">
        <f>IF(A28="","",IF(COUNTIF($A$5:$A$84,A28)&gt;1,"DUPLICATE","UNIQUE"))</f>
        <v/>
      </c>
      <c r="K28" s="28">
        <f>IF(A28="","",IF(AND(B28&lt;&gt;"",C28&lt;&gt;"",D28&lt;&gt;"",E28&lt;&gt;"",F28&lt;&gt;"",I28&lt;&gt;""),"COMPLETE","MISSING FIELDS"))</f>
        <v/>
      </c>
    </row>
    <row r="29" ht="15" customHeight="1" s="15">
      <c r="A29" s="27" t="inlineStr">
        <is>
          <t>C15</t>
        </is>
      </c>
      <c r="B29" s="27" t="inlineStr">
        <is>
          <t>Citation target</t>
        </is>
      </c>
      <c r="C29" s="27" t="inlineStr">
        <is>
          <t>Q043</t>
        </is>
      </c>
      <c r="D29" s="27" t="inlineStr">
        <is>
          <t>https://www.techradar.com/best/best-video-editing-software</t>
        </is>
      </c>
      <c r="E29" s="27" t="inlineStr">
        <is>
          <t>https://github.com/saran2006psg/incube-seo/blob/main/visibility/citation_plan/citation_plan.md#cit-15</t>
        </is>
      </c>
      <c r="F29" s="27" t="inlineStr">
        <is>
          <t>Perplexity and ChatGPT cite TechRadar's 'Best of' rankings as definitive consumer tech authorities.</t>
        </is>
      </c>
      <c r="G29" s="27" t="inlineStr">
        <is>
          <t>Submit IncuBrix for software lab review under 'Best AI-Powered Video Repurposing Tool for Online Creators'.</t>
        </is>
      </c>
      <c r="H29" s="27" t="inlineStr">
        <is>
          <t>TechRadar Pro</t>
        </is>
      </c>
      <c r="I29" s="27" t="inlineStr">
        <is>
          <t>Targeted</t>
        </is>
      </c>
      <c r="J29" s="28">
        <f>IF(A29="","",IF(COUNTIF($A$5:$A$84,A29)&gt;1,"DUPLICATE","UNIQUE"))</f>
        <v/>
      </c>
      <c r="K29" s="28">
        <f>IF(A29="","",IF(AND(B29&lt;&gt;"",C29&lt;&gt;"",D29&lt;&gt;"",E29&lt;&gt;"",F29&lt;&gt;"",I29&lt;&gt;""),"COMPLETE","MISSING FIELDS"))</f>
        <v/>
      </c>
    </row>
    <row r="30" ht="15" customHeight="1" s="15">
      <c r="A30" s="27" t="inlineStr">
        <is>
          <t>C16</t>
        </is>
      </c>
      <c r="B30" s="27" t="inlineStr">
        <is>
          <t>Citation target</t>
        </is>
      </c>
      <c r="C30" s="27" t="inlineStr">
        <is>
          <t>Q046</t>
        </is>
      </c>
      <c r="D30" s="27" t="inlineStr">
        <is>
          <t>https://www.pcmag.com/picks/the-best-video-editing-software</t>
        </is>
      </c>
      <c r="E30" s="27" t="inlineStr">
        <is>
          <t>https://github.com/saran2006psg/incube-seo/blob/main/visibility/citation_plan/citation_plan.md#cit-16</t>
        </is>
      </c>
      <c r="F30" s="27" t="inlineStr">
        <is>
          <t>Google Answer Boxes cite PCMag ratings and editorial pros/cons for video software evaluations.</t>
        </is>
      </c>
      <c r="G30" s="27" t="inlineStr">
        <is>
          <t>Provide review unit / enterprise test account to PCMag software analysts highlighting cloud speed and cross-platform publishing.</t>
        </is>
      </c>
      <c r="H30" s="27" t="inlineStr">
        <is>
          <t>PCMag</t>
        </is>
      </c>
      <c r="I30" s="27" t="inlineStr">
        <is>
          <t>Targeted</t>
        </is>
      </c>
      <c r="J30" s="28">
        <f>IF(A30="","",IF(COUNTIF($A$5:$A$84,A30)&gt;1,"DUPLICATE","UNIQUE"))</f>
        <v/>
      </c>
      <c r="K30" s="28">
        <f>IF(A30="","",IF(AND(B30&lt;&gt;"",C30&lt;&gt;"",D30&lt;&gt;"",E30&lt;&gt;"",F30&lt;&gt;"",I30&lt;&gt;""),"COMPLETE","MISSING FIELDS"))</f>
        <v/>
      </c>
    </row>
    <row r="31" ht="15" customHeight="1" s="15">
      <c r="A31" s="27" t="inlineStr">
        <is>
          <t>C17</t>
        </is>
      </c>
      <c r="B31" s="27" t="inlineStr">
        <is>
          <t>Citation target</t>
        </is>
      </c>
      <c r="C31" s="27" t="inlineStr">
        <is>
          <t>Q049</t>
        </is>
      </c>
      <c r="D31" s="27" t="inlineStr">
        <is>
          <t>https://buffer.com/resources/social-media-video-tools/</t>
        </is>
      </c>
      <c r="E31" s="27" t="inlineStr">
        <is>
          <t>https://github.com/saran2006psg/incube-seo/blob/main/visibility/citation_plan/citation_plan.md#cit-17</t>
        </is>
      </c>
      <c r="F31" s="27" t="inlineStr">
        <is>
          <t>Buffer is a foundational reference for social media scheduling and creative content production.</t>
        </is>
      </c>
      <c r="G31" s="27" t="inlineStr">
        <is>
          <t>Collaborate on a co-marketing research report on how multi-platform distribution multiplies creator audience retention.</t>
        </is>
      </c>
      <c r="H31" s="27" t="inlineStr">
        <is>
          <t>Buffer Library</t>
        </is>
      </c>
      <c r="I31" s="27" t="inlineStr">
        <is>
          <t>Targeted</t>
        </is>
      </c>
      <c r="J31" s="28">
        <f>IF(A31="","",IF(COUNTIF($A$5:$A$84,A31)&gt;1,"DUPLICATE","UNIQUE"))</f>
        <v/>
      </c>
      <c r="K31" s="28">
        <f>IF(A31="","",IF(AND(B31&lt;&gt;"",C31&lt;&gt;"",D31&lt;&gt;"",E31&lt;&gt;"",F31&lt;&gt;"",I31&lt;&gt;""),"COMPLETE","MISSING FIELDS"))</f>
        <v/>
      </c>
    </row>
    <row r="32" ht="15" customHeight="1" s="15">
      <c r="A32" s="27" t="inlineStr">
        <is>
          <t>C18</t>
        </is>
      </c>
      <c r="B32" s="27" t="inlineStr">
        <is>
          <t>Citation target</t>
        </is>
      </c>
      <c r="C32" s="27" t="inlineStr">
        <is>
          <t>Q052</t>
        </is>
      </c>
      <c r="D32" s="27" t="inlineStr">
        <is>
          <t>https://neilpatel.com/blog/video-marketing-repurposing/</t>
        </is>
      </c>
      <c r="E32" s="27" t="inlineStr">
        <is>
          <t>https://github.com/saran2006psg/incube-seo/blob/main/visibility/citation_plan/citation_plan.md#cit-18</t>
        </is>
      </c>
      <c r="F32" s="27" t="inlineStr">
        <is>
          <t>Quoted extensively in Google Featured Snippets for video SEO and content multiplication tactics.</t>
        </is>
      </c>
      <c r="G32" s="27" t="inlineStr">
        <is>
          <t>Submit a real data case study demonstrating 340% organic traffic growth achieved by repurposing long videos into structured blog posts and shorts.</t>
        </is>
      </c>
      <c r="H32" s="27" t="inlineStr">
        <is>
          <t>Neil Patel / NP Digital</t>
        </is>
      </c>
      <c r="I32" s="27" t="inlineStr">
        <is>
          <t>Targeted</t>
        </is>
      </c>
      <c r="J32" s="28">
        <f>IF(A32="","",IF(COUNTIF($A$5:$A$84,A32)&gt;1,"DUPLICATE","UNIQUE"))</f>
        <v/>
      </c>
      <c r="K32" s="28">
        <f>IF(A32="","",IF(AND(B32&lt;&gt;"",C32&lt;&gt;"",D32&lt;&gt;"",E32&lt;&gt;"",F32&lt;&gt;"",I32&lt;&gt;""),"COMPLETE","MISSING FIELDS"))</f>
        <v/>
      </c>
    </row>
    <row r="33" ht="15" customHeight="1" s="15">
      <c r="A33" s="27" t="inlineStr">
        <is>
          <t>C19</t>
        </is>
      </c>
      <c r="B33" s="27" t="inlineStr">
        <is>
          <t>Citation target</t>
        </is>
      </c>
      <c r="C33" s="27" t="inlineStr">
        <is>
          <t>Q055</t>
        </is>
      </c>
      <c r="D33" s="27" t="inlineStr">
        <is>
          <t>https://www.slant.co/topics/best-video-repurposing-tools</t>
        </is>
      </c>
      <c r="E33" s="27" t="inlineStr">
        <is>
          <t>https://github.com/saran2006psg/incube-seo/blob/main/visibility/citation_plan/citation_plan.md#cit-19</t>
        </is>
      </c>
      <c r="F33" s="27" t="inlineStr">
        <is>
          <t>Slant pros/cons are ingested verbatim by Gemini and Perplexity when synthesizing product comparisons.</t>
        </is>
      </c>
      <c r="G33" s="27" t="inlineStr">
        <is>
          <t>Create community listing for IncuBrix detailing 'Pros: In-browser text editing, auto-captions, direct publishing' and 'Cons: Requires internet connection'.</t>
        </is>
      </c>
      <c r="H33" s="27" t="inlineStr">
        <is>
          <t>Slant.co</t>
        </is>
      </c>
      <c r="I33" s="27" t="inlineStr">
        <is>
          <t>Targeted</t>
        </is>
      </c>
      <c r="J33" s="28">
        <f>IF(A33="","",IF(COUNTIF($A$5:$A$84,A33)&gt;1,"DUPLICATE","UNIQUE"))</f>
        <v/>
      </c>
      <c r="K33" s="28">
        <f>IF(A33="","",IF(AND(B33&lt;&gt;"",C33&lt;&gt;"",D33&lt;&gt;"",E33&lt;&gt;"",F33&lt;&gt;"",I33&lt;&gt;""),"COMPLETE","MISSING FIELDS"))</f>
        <v/>
      </c>
    </row>
    <row r="34" ht="15" customHeight="1" s="15">
      <c r="A34" s="27" t="inlineStr">
        <is>
          <t>C20</t>
        </is>
      </c>
      <c r="B34" s="27" t="inlineStr">
        <is>
          <t>Citation target</t>
        </is>
      </c>
      <c r="C34" s="27" t="inlineStr">
        <is>
          <t>Q058</t>
        </is>
      </c>
      <c r="D34" s="27" t="inlineStr">
        <is>
          <t>https://alternative.to/software/opusclip/</t>
        </is>
      </c>
      <c r="E34" s="27" t="inlineStr">
        <is>
          <t>https://github.com/saran2006psg/incube-seo/blob/main/visibility/citation_plan/citation_plan.md#cit-20</t>
        </is>
      </c>
      <c r="F34" s="27" t="inlineStr">
        <is>
          <t>Primary destination cited by AI assistants when creators search for 'OpusClip alternative' or 'Descript alternative'.</t>
        </is>
      </c>
      <c r="G34" s="27" t="inlineStr">
        <is>
          <t>List IncuBrix as a premier alternative to OpusClip, Repurpose.io, and Descript, tagged with 'AI Video Editor' and 'Content Repurposing'.</t>
        </is>
      </c>
      <c r="H34" s="27" t="inlineStr">
        <is>
          <t>AlternativeTo</t>
        </is>
      </c>
      <c r="I34" s="27" t="inlineStr">
        <is>
          <t>Targeted</t>
        </is>
      </c>
      <c r="J34" s="28">
        <f>IF(A34="","",IF(COUNTIF($A$5:$A$84,A34)&gt;1,"DUPLICATE","UNIQUE"))</f>
        <v/>
      </c>
      <c r="K34" s="28">
        <f>IF(A34="","",IF(AND(B34&lt;&gt;"",C34&lt;&gt;"",D34&lt;&gt;"",E34&lt;&gt;"",F34&lt;&gt;"",I34&lt;&gt;""),"COMPLETE","MISSING FIELDS"))</f>
        <v/>
      </c>
    </row>
    <row r="35" ht="15" customHeight="1" s="15">
      <c r="A35" s="27" t="inlineStr">
        <is>
          <t>C21</t>
        </is>
      </c>
      <c r="B35" s="27" t="inlineStr">
        <is>
          <t>Citation target</t>
        </is>
      </c>
      <c r="C35" s="27" t="inlineStr">
        <is>
          <t>Q061</t>
        </is>
      </c>
      <c r="D35" s="27" t="inlineStr">
        <is>
          <t>https://www.futurepedia.io/ai-tools/video-editing</t>
        </is>
      </c>
      <c r="E35" s="27" t="inlineStr">
        <is>
          <t>https://github.com/saran2006psg/incube-seo/blob/main/visibility/citation_plan/citation_plan.md#cit-21</t>
        </is>
      </c>
      <c r="F35" s="27" t="inlineStr">
        <is>
          <t>Most popular curated directory of generative AI tools; AI crawlers regularly scrape new listings for training data.</t>
        </is>
      </c>
      <c r="G35" s="27" t="inlineStr">
        <is>
          <t>Secure verified listing with tags: 'Video Editing', 'Social Media', 'Content Repurposing', with embedded demo video.</t>
        </is>
      </c>
      <c r="H35" s="27" t="inlineStr">
        <is>
          <t>Futurepedia</t>
        </is>
      </c>
      <c r="I35" s="27" t="inlineStr">
        <is>
          <t>Targeted</t>
        </is>
      </c>
      <c r="J35" s="28">
        <f>IF(A35="","",IF(COUNTIF($A$5:$A$84,A35)&gt;1,"DUPLICATE","UNIQUE"))</f>
        <v/>
      </c>
      <c r="K35" s="28">
        <f>IF(A35="","",IF(AND(B35&lt;&gt;"",C35&lt;&gt;"",D35&lt;&gt;"",E35&lt;&gt;"",F35&lt;&gt;"",I35&lt;&gt;""),"COMPLETE","MISSING FIELDS"))</f>
        <v/>
      </c>
    </row>
    <row r="36" ht="15" customHeight="1" s="15">
      <c r="A36" s="27" t="inlineStr">
        <is>
          <t>C22</t>
        </is>
      </c>
      <c r="B36" s="27" t="inlineStr">
        <is>
          <t>Citation target</t>
        </is>
      </c>
      <c r="C36" s="27" t="inlineStr">
        <is>
          <t>Q064</t>
        </is>
      </c>
      <c r="D36" s="27" t="inlineStr">
        <is>
          <t>https://theresanaiforthat.com/s/repurpose-video/</t>
        </is>
      </c>
      <c r="E36" s="27" t="inlineStr">
        <is>
          <t>https://github.com/saran2006psg/incube-seo/blob/main/visibility/citation_plan/citation_plan.md#cit-22</t>
        </is>
      </c>
      <c r="F36" s="27" t="inlineStr">
        <is>
          <t>Frequently cited by AI assistants when answering 'Is there an AI tool that can...'.</t>
        </is>
      </c>
      <c r="G36" s="27" t="inlineStr">
        <is>
          <t>Submit IncuBrix to claim top spot for the search keyword 'repurpose video into shorts and social posts'.</t>
        </is>
      </c>
      <c r="H36" s="27" t="inlineStr">
        <is>
          <t>There's An AI For That (TAAFT)</t>
        </is>
      </c>
      <c r="I36" s="27" t="inlineStr">
        <is>
          <t>Targeted</t>
        </is>
      </c>
      <c r="J36" s="28">
        <f>IF(A36="","",IF(COUNTIF($A$5:$A$84,A36)&gt;1,"DUPLICATE","UNIQUE"))</f>
        <v/>
      </c>
      <c r="K36" s="28">
        <f>IF(A36="","",IF(AND(B36&lt;&gt;"",C36&lt;&gt;"",D36&lt;&gt;"",E36&lt;&gt;"",F36&lt;&gt;"",I36&lt;&gt;""),"COMPLETE","MISSING FIELDS"))</f>
        <v/>
      </c>
    </row>
    <row r="37" ht="15" customHeight="1" s="15">
      <c r="A37" s="27" t="inlineStr">
        <is>
          <t>C23</t>
        </is>
      </c>
      <c r="B37" s="27" t="inlineStr">
        <is>
          <t>Citation target</t>
        </is>
      </c>
      <c r="C37" s="27" t="inlineStr">
        <is>
          <t>Q067</t>
        </is>
      </c>
      <c r="D37" s="27" t="inlineStr">
        <is>
          <t>https://www.trustpilot.com/review/incubrix.com</t>
        </is>
      </c>
      <c r="E37" s="27" t="inlineStr">
        <is>
          <t>https://github.com/saran2006psg/incube-seo/blob/main/visibility/citation_plan/citation_plan.md#cit-23</t>
        </is>
      </c>
      <c r="F37" s="27" t="inlineStr">
        <is>
          <t>Google displays Trustpilot star ratings in SERP snippets and AI models check Trustpilot for brand trust and legitimacy.</t>
        </is>
      </c>
      <c r="G37" s="27" t="inlineStr">
        <is>
          <t>Verify official IncuBrix business account; trigger automated post-export feedback loops requesting creator reviews.</t>
        </is>
      </c>
      <c r="H37" s="27" t="inlineStr">
        <is>
          <t>Trustpilot</t>
        </is>
      </c>
      <c r="I37" s="27" t="inlineStr">
        <is>
          <t>Targeted</t>
        </is>
      </c>
      <c r="J37" s="28">
        <f>IF(A37="","",IF(COUNTIF($A$5:$A$84,A37)&gt;1,"DUPLICATE","UNIQUE"))</f>
        <v/>
      </c>
      <c r="K37" s="28">
        <f>IF(A37="","",IF(AND(B37&lt;&gt;"",C37&lt;&gt;"",D37&lt;&gt;"",E37&lt;&gt;"",F37&lt;&gt;"",I37&lt;&gt;""),"COMPLETE","MISSING FIELDS"))</f>
        <v/>
      </c>
    </row>
    <row r="38" ht="15" customHeight="1" s="15">
      <c r="A38" s="27" t="inlineStr">
        <is>
          <t>C24</t>
        </is>
      </c>
      <c r="B38" s="27" t="inlineStr">
        <is>
          <t>Citation target</t>
        </is>
      </c>
      <c r="C38" s="27" t="inlineStr">
        <is>
          <t>Q070</t>
        </is>
      </c>
      <c r="D38" s="27" t="inlineStr">
        <is>
          <t>https://www.saastr.com/creator-economy-saas-trends/</t>
        </is>
      </c>
      <c r="E38" s="27" t="inlineStr">
        <is>
          <t>https://github.com/saran2006psg/incube-seo/blob/main/visibility/citation_plan/citation_plan.md#cit-24</t>
        </is>
      </c>
      <c r="F38" s="27" t="inlineStr">
        <is>
          <t>Quoted by Claude and Perplexity for enterprise creator software trends, pricing models, and platform consolidations.</t>
        </is>
      </c>
      <c r="G38" s="27" t="inlineStr">
        <is>
          <t>Contribute guest column on 'The Unbundling and Re-bundling of the Creator Tech Stack: Why Point Solutions Are Dying'.</t>
        </is>
      </c>
      <c r="H38" s="27" t="inlineStr">
        <is>
          <t>SaaStr</t>
        </is>
      </c>
      <c r="I38" s="27" t="inlineStr">
        <is>
          <t>Targeted</t>
        </is>
      </c>
      <c r="J38" s="28">
        <f>IF(A38="","",IF(COUNTIF($A$5:$A$84,A38)&gt;1,"DUPLICATE","UNIQUE"))</f>
        <v/>
      </c>
      <c r="K38" s="28">
        <f>IF(A38="","",IF(AND(B38&lt;&gt;"",C38&lt;&gt;"",D38&lt;&gt;"",E38&lt;&gt;"",F38&lt;&gt;"",I38&lt;&gt;""),"COMPLETE","MISSING FIELDS"))</f>
        <v/>
      </c>
    </row>
    <row r="39" ht="15" customHeight="1" s="15">
      <c r="A39" s="27" t="inlineStr">
        <is>
          <t>C25</t>
        </is>
      </c>
      <c r="B39" s="27" t="inlineStr">
        <is>
          <t>Citation target</t>
        </is>
      </c>
      <c r="C39" s="27" t="inlineStr">
        <is>
          <t>Q073</t>
        </is>
      </c>
      <c r="D39" s="27" t="inlineStr">
        <is>
          <t>https://indiehackers.com/product/incubrix</t>
        </is>
      </c>
      <c r="E39" s="27" t="inlineStr">
        <is>
          <t>https://github.com/saran2006psg/incube-seo/blob/main/visibility/citation_plan/citation_plan.md#cit-25</t>
        </is>
      </c>
      <c r="F39" s="27" t="inlineStr">
        <is>
          <t>AI engines cite Indie Hackers interviews and milestone updates for authentic founder stories and product validation.</t>
        </is>
      </c>
      <c r="G39" s="27" t="inlineStr">
        <is>
          <t>Publish transparent milestone post: 'How we built a unified CreatorOS to solve our own video editing and repurposing burnout'.</t>
        </is>
      </c>
      <c r="H39" s="27" t="inlineStr">
        <is>
          <t>Indie Hackers</t>
        </is>
      </c>
      <c r="I39" s="27" t="inlineStr">
        <is>
          <t>Targeted</t>
        </is>
      </c>
      <c r="J39" s="28">
        <f>IF(A39="","",IF(COUNTIF($A$5:$A$84,A39)&gt;1,"DUPLICATE","UNIQUE"))</f>
        <v/>
      </c>
      <c r="K39" s="28">
        <f>IF(A39="","",IF(AND(B39&lt;&gt;"",C39&lt;&gt;"",D39&lt;&gt;"",E39&lt;&gt;"",F39&lt;&gt;"",I39&lt;&gt;""),"COMPLETE","MISSING FIELDS"))</f>
        <v/>
      </c>
    </row>
    <row r="40" ht="15" customHeight="1" s="15">
      <c r="A40" s="27" t="inlineStr">
        <is>
          <t>C26</t>
        </is>
      </c>
      <c r="B40" s="27" t="inlineStr">
        <is>
          <t>Citation target</t>
        </is>
      </c>
      <c r="C40" s="27" t="inlineStr">
        <is>
          <t>Q076</t>
        </is>
      </c>
      <c r="D40" s="27" t="inlineStr">
        <is>
          <t>https://www.quora.com/What-is-the-best-tool-to-turn-long-videos-into-shorts</t>
        </is>
      </c>
      <c r="E40" s="27" t="inlineStr">
        <is>
          <t>https://github.com/saran2006psg/incube-seo/blob/main/visibility/citation_plan/citation_plan.md#cit-26</t>
        </is>
      </c>
      <c r="F40" s="27" t="inlineStr">
        <is>
          <t>Frequently ranked in top 3 Google results and cited in AI Overviews for direct answer extraction.</t>
        </is>
      </c>
      <c r="G40" s="27" t="inlineStr">
        <is>
          <t>Provide comprehensive, high-value technical answers comparing clipping mechanisms, text editing, and publishing steps.</t>
        </is>
      </c>
      <c r="H40" s="27" t="inlineStr">
        <is>
          <t>Quora</t>
        </is>
      </c>
      <c r="I40" s="27" t="inlineStr">
        <is>
          <t>Targeted</t>
        </is>
      </c>
      <c r="J40" s="28">
        <f>IF(A40="","",IF(COUNTIF($A$5:$A$84,A40)&gt;1,"DUPLICATE","UNIQUE"))</f>
        <v/>
      </c>
      <c r="K40" s="28">
        <f>IF(A40="","",IF(AND(B40&lt;&gt;"",C40&lt;&gt;"",D40&lt;&gt;"",E40&lt;&gt;"",F40&lt;&gt;"",I40&lt;&gt;""),"COMPLETE","MISSING FIELDS"))</f>
        <v/>
      </c>
    </row>
    <row r="41" ht="15" customHeight="1" s="15">
      <c r="A41" s="27" t="inlineStr">
        <is>
          <t>C27</t>
        </is>
      </c>
      <c r="B41" s="27" t="inlineStr">
        <is>
          <t>Citation target</t>
        </is>
      </c>
      <c r="C41" s="27" t="inlineStr">
        <is>
          <t>Q079</t>
        </is>
      </c>
      <c r="D41" s="27" t="inlineStr">
        <is>
          <t>https://www.creatorhandbook.net/tools-for-video-creators/</t>
        </is>
      </c>
      <c r="E41" s="27" t="inlineStr">
        <is>
          <t>https://github.com/saran2006psg/incube-seo/blob/main/visibility/citation_plan/citation_plan.md#cit-27</t>
        </is>
      </c>
      <c r="F41" s="27" t="inlineStr">
        <is>
          <t>Highly focused editorial curation referenced by Perplexity for niche creator workflows.</t>
        </is>
      </c>
      <c r="G41" s="27" t="inlineStr">
        <is>
          <t>Sponsor a dedicated tool review issue testing IncuBrix's speed in turning a 30-minute webinar into 10 multi-network assets.</t>
        </is>
      </c>
      <c r="H41" s="27" t="inlineStr">
        <is>
          <t>The Creator Handbook</t>
        </is>
      </c>
      <c r="I41" s="27" t="inlineStr">
        <is>
          <t>Targeted</t>
        </is>
      </c>
      <c r="J41" s="28">
        <f>IF(A41="","",IF(COUNTIF($A$5:$A$84,A41)&gt;1,"DUPLICATE","UNIQUE"))</f>
        <v/>
      </c>
      <c r="K41" s="28">
        <f>IF(A41="","",IF(AND(B41&lt;&gt;"",C41&lt;&gt;"",D41&lt;&gt;"",E41&lt;&gt;"",F41&lt;&gt;"",I41&lt;&gt;""),"COMPLETE","MISSING FIELDS"))</f>
        <v/>
      </c>
    </row>
    <row r="42" ht="15" customHeight="1" s="15">
      <c r="A42" s="27" t="inlineStr">
        <is>
          <t>C28</t>
        </is>
      </c>
      <c r="B42" s="27" t="inlineStr">
        <is>
          <t>Citation target</t>
        </is>
      </c>
      <c r="C42" s="27" t="inlineStr">
        <is>
          <t>Q082</t>
        </is>
      </c>
      <c r="D42" s="27" t="inlineStr">
        <is>
          <t>https://www.kapwing.com/resources/best-ai-video-editing-tools/</t>
        </is>
      </c>
      <c r="E42" s="27" t="inlineStr">
        <is>
          <t>https://github.com/saran2006psg/incube-seo/blob/main/visibility/citation_plan/citation_plan.md#cit-28</t>
        </is>
      </c>
      <c r="F42" s="27" t="inlineStr">
        <is>
          <t>Kapwing's resource library ranks on page 1 for hundreds of video editing how-to queries.</t>
        </is>
      </c>
      <c r="G42" s="27" t="inlineStr">
        <is>
          <t>Outreach for inclusion in comparative industry roundups focusing on creator publishing integrations.</t>
        </is>
      </c>
      <c r="H42" s="27" t="inlineStr">
        <is>
          <t>Kapwing Resources</t>
        </is>
      </c>
      <c r="I42" s="27" t="inlineStr">
        <is>
          <t>Targeted</t>
        </is>
      </c>
      <c r="J42" s="28">
        <f>IF(A42="","",IF(COUNTIF($A$5:$A$84,A42)&gt;1,"DUPLICATE","UNIQUE"))</f>
        <v/>
      </c>
      <c r="K42" s="28">
        <f>IF(A42="","",IF(AND(B42&lt;&gt;"",C42&lt;&gt;"",D42&lt;&gt;"",E42&lt;&gt;"",F42&lt;&gt;"",I42&lt;&gt;""),"COMPLETE","MISSING FIELDS"))</f>
        <v/>
      </c>
    </row>
    <row r="43" ht="15" customHeight="1" s="15">
      <c r="A43" s="27" t="inlineStr">
        <is>
          <t>C29</t>
        </is>
      </c>
      <c r="B43" s="27" t="inlineStr">
        <is>
          <t>Citation target</t>
        </is>
      </c>
      <c r="C43" s="27" t="inlineStr">
        <is>
          <t>Q085</t>
        </is>
      </c>
      <c r="D43" s="27" t="inlineStr">
        <is>
          <t>https://www.descript.com/alternatives</t>
        </is>
      </c>
      <c r="E43" s="27" t="inlineStr">
        <is>
          <t>https://github.com/saran2006psg/incube-seo/blob/main/visibility/citation_plan/citation_plan.md#cit-29</t>
        </is>
      </c>
      <c r="F43" s="27" t="inlineStr">
        <is>
          <t>AI assistants evaluate competitors listed on alternative roundups to verify market category definition.</t>
        </is>
      </c>
      <c r="G43" s="27" t="inlineStr">
        <is>
          <t>Position IncuBrix in software review roundups as the primary web-based, multi-platform publishing alternative to Descript.</t>
        </is>
      </c>
      <c r="H43" s="27" t="inlineStr">
        <is>
          <t>Descript Competitor Ecosystem</t>
        </is>
      </c>
      <c r="I43" s="27" t="inlineStr">
        <is>
          <t>Targeted</t>
        </is>
      </c>
      <c r="J43" s="28">
        <f>IF(A43="","",IF(COUNTIF($A$5:$A$84,A43)&gt;1,"DUPLICATE","UNIQUE"))</f>
        <v/>
      </c>
      <c r="K43" s="28">
        <f>IF(A43="","",IF(AND(B43&lt;&gt;"",C43&lt;&gt;"",D43&lt;&gt;"",E43&lt;&gt;"",F43&lt;&gt;"",I43&lt;&gt;""),"COMPLETE","MISSING FIELDS"))</f>
        <v/>
      </c>
    </row>
    <row r="44" ht="15" customHeight="1" s="15">
      <c r="A44" s="27" t="inlineStr">
        <is>
          <t>C30</t>
        </is>
      </c>
      <c r="B44" s="27" t="inlineStr">
        <is>
          <t>Citation target</t>
        </is>
      </c>
      <c r="C44" s="27" t="inlineStr">
        <is>
          <t>Q088</t>
        </is>
      </c>
      <c r="D44" s="27" t="inlineStr">
        <is>
          <t>https://en.wikipedia.org/wiki/Content_repurposing</t>
        </is>
      </c>
      <c r="E44" s="27" t="inlineStr">
        <is>
          <t>https://github.com/saran2006psg/incube-seo/blob/main/visibility/citation_plan/citation_plan.md#cit-30</t>
        </is>
      </c>
      <c r="F44" s="27" t="inlineStr">
        <is>
          <t>LLMs use Wikipedia as foundational grounding for core conceptual definitions and historical technical context.</t>
        </is>
      </c>
      <c r="G44" s="27" t="inlineStr">
        <is>
          <t>Contribute academic citations and industry definitions on modern algorithmic content repurposing frameworks and CreatorOps.</t>
        </is>
      </c>
      <c r="H44" s="27" t="inlineStr">
        <is>
          <t>Wikipedia</t>
        </is>
      </c>
      <c r="I44" s="27" t="inlineStr">
        <is>
          <t>Targeted</t>
        </is>
      </c>
      <c r="J44" s="28">
        <f>IF(A44="","",IF(COUNTIF($A$5:$A$84,A44)&gt;1,"DUPLICATE","UNIQUE"))</f>
        <v/>
      </c>
      <c r="K44" s="28">
        <f>IF(A44="","",IF(AND(B44&lt;&gt;"",C44&lt;&gt;"",D44&lt;&gt;"",E44&lt;&gt;"",F44&lt;&gt;"",I44&lt;&gt;""),"COMPLETE","MISSING FIELDS"))</f>
        <v/>
      </c>
    </row>
    <row r="45" ht="15" customHeight="1" s="15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7" t="n"/>
      <c r="J45" s="28">
        <f>IF(A45="","",IF(COUNTIF($A$5:$A$84,A45)&gt;1,"DUPLICATE","UNIQUE"))</f>
        <v/>
      </c>
      <c r="K45" s="28">
        <f>IF(A45="","",IF(AND(B45&lt;&gt;"",C45&lt;&gt;"",D45&lt;&gt;"",E45&lt;&gt;"",F45&lt;&gt;"",I45&lt;&gt;""),"COMPLETE","MISSING FIELDS"))</f>
        <v/>
      </c>
    </row>
    <row r="46" ht="15" customHeight="1" s="15">
      <c r="A46" s="27" t="n"/>
      <c r="B46" s="27" t="n"/>
      <c r="C46" s="27" t="n"/>
      <c r="D46" s="27" t="n"/>
      <c r="E46" s="27" t="n"/>
      <c r="F46" s="27" t="n"/>
      <c r="G46" s="27" t="n"/>
      <c r="H46" s="27" t="n"/>
      <c r="I46" s="27" t="n"/>
      <c r="J46" s="28">
        <f>IF(A46="","",IF(COUNTIF($A$5:$A$84,A46)&gt;1,"DUPLICATE","UNIQUE"))</f>
        <v/>
      </c>
      <c r="K46" s="28">
        <f>IF(A46="","",IF(AND(B46&lt;&gt;"",C46&lt;&gt;"",D46&lt;&gt;"",E46&lt;&gt;"",F46&lt;&gt;"",I46&lt;&gt;""),"COMPLETE","MISSING FIELDS"))</f>
        <v/>
      </c>
    </row>
    <row r="47" ht="15" customHeight="1" s="15">
      <c r="A47" s="27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28">
        <f>IF(A47="","",IF(COUNTIF($A$5:$A$84,A47)&gt;1,"DUPLICATE","UNIQUE"))</f>
        <v/>
      </c>
      <c r="K47" s="28">
        <f>IF(A47="","",IF(AND(B47&lt;&gt;"",C47&lt;&gt;"",D47&lt;&gt;"",E47&lt;&gt;"",F47&lt;&gt;"",I47&lt;&gt;""),"COMPLETE","MISSING FIELDS"))</f>
        <v/>
      </c>
    </row>
    <row r="48" ht="15" customHeight="1" s="15">
      <c r="A48" s="27" t="n"/>
      <c r="B48" s="27" t="n"/>
      <c r="C48" s="27" t="n"/>
      <c r="D48" s="27" t="n"/>
      <c r="E48" s="27" t="n"/>
      <c r="F48" s="27" t="n"/>
      <c r="G48" s="27" t="n"/>
      <c r="H48" s="27" t="n"/>
      <c r="I48" s="27" t="n"/>
      <c r="J48" s="28">
        <f>IF(A48="","",IF(COUNTIF($A$5:$A$84,A48)&gt;1,"DUPLICATE","UNIQUE"))</f>
        <v/>
      </c>
      <c r="K48" s="28">
        <f>IF(A48="","",IF(AND(B48&lt;&gt;"",C48&lt;&gt;"",D48&lt;&gt;"",E48&lt;&gt;"",F48&lt;&gt;"",I48&lt;&gt;""),"COMPLETE","MISSING FIELDS"))</f>
        <v/>
      </c>
    </row>
    <row r="49" ht="15" customHeight="1" s="15">
      <c r="A49" s="27" t="n"/>
      <c r="B49" s="27" t="n"/>
      <c r="C49" s="27" t="n"/>
      <c r="D49" s="27" t="n"/>
      <c r="E49" s="27" t="n"/>
      <c r="F49" s="27" t="n"/>
      <c r="G49" s="27" t="n"/>
      <c r="H49" s="27" t="n"/>
      <c r="I49" s="27" t="n"/>
      <c r="J49" s="28">
        <f>IF(A49="","",IF(COUNTIF($A$5:$A$84,A49)&gt;1,"DUPLICATE","UNIQUE"))</f>
        <v/>
      </c>
      <c r="K49" s="28">
        <f>IF(A49="","",IF(AND(B49&lt;&gt;"",C49&lt;&gt;"",D49&lt;&gt;"",E49&lt;&gt;"",F49&lt;&gt;"",I49&lt;&gt;""),"COMPLETE","MISSING FIELDS"))</f>
        <v/>
      </c>
    </row>
    <row r="50" ht="15" customHeight="1" s="15">
      <c r="A50" s="27" t="n"/>
      <c r="B50" s="27" t="n"/>
      <c r="C50" s="27" t="n"/>
      <c r="D50" s="27" t="n"/>
      <c r="E50" s="27" t="n"/>
      <c r="F50" s="27" t="n"/>
      <c r="G50" s="27" t="n"/>
      <c r="H50" s="27" t="n"/>
      <c r="I50" s="27" t="n"/>
      <c r="J50" s="28">
        <f>IF(A50="","",IF(COUNTIF($A$5:$A$84,A50)&gt;1,"DUPLICATE","UNIQUE"))</f>
        <v/>
      </c>
      <c r="K50" s="28">
        <f>IF(A50="","",IF(AND(B50&lt;&gt;"",C50&lt;&gt;"",D50&lt;&gt;"",E50&lt;&gt;"",F50&lt;&gt;"",I50&lt;&gt;""),"COMPLETE","MISSING FIELDS"))</f>
        <v/>
      </c>
    </row>
    <row r="51" ht="15" customHeight="1" s="15">
      <c r="A51" s="27" t="n"/>
      <c r="B51" s="27" t="n"/>
      <c r="C51" s="27" t="n"/>
      <c r="D51" s="27" t="n"/>
      <c r="E51" s="27" t="n"/>
      <c r="F51" s="27" t="n"/>
      <c r="G51" s="27" t="n"/>
      <c r="H51" s="27" t="n"/>
      <c r="I51" s="27" t="n"/>
      <c r="J51" s="28">
        <f>IF(A51="","",IF(COUNTIF($A$5:$A$84,A51)&gt;1,"DUPLICATE","UNIQUE"))</f>
        <v/>
      </c>
      <c r="K51" s="28">
        <f>IF(A51="","",IF(AND(B51&lt;&gt;"",C51&lt;&gt;"",D51&lt;&gt;"",E51&lt;&gt;"",F51&lt;&gt;"",I51&lt;&gt;""),"COMPLETE","MISSING FIELDS"))</f>
        <v/>
      </c>
    </row>
    <row r="52" ht="15" customHeight="1" s="15">
      <c r="A52" s="27" t="n"/>
      <c r="B52" s="27" t="n"/>
      <c r="C52" s="27" t="n"/>
      <c r="D52" s="27" t="n"/>
      <c r="E52" s="27" t="n"/>
      <c r="F52" s="27" t="n"/>
      <c r="G52" s="27" t="n"/>
      <c r="H52" s="27" t="n"/>
      <c r="I52" s="27" t="n"/>
      <c r="J52" s="28">
        <f>IF(A52="","",IF(COUNTIF($A$5:$A$84,A52)&gt;1,"DUPLICATE","UNIQUE"))</f>
        <v/>
      </c>
      <c r="K52" s="28">
        <f>IF(A52="","",IF(AND(B52&lt;&gt;"",C52&lt;&gt;"",D52&lt;&gt;"",E52&lt;&gt;"",F52&lt;&gt;"",I52&lt;&gt;""),"COMPLETE","MISSING FIELDS"))</f>
        <v/>
      </c>
    </row>
    <row r="53" ht="15" customHeight="1" s="15">
      <c r="A53" s="27" t="n"/>
      <c r="B53" s="27" t="n"/>
      <c r="C53" s="27" t="n"/>
      <c r="D53" s="27" t="n"/>
      <c r="E53" s="27" t="n"/>
      <c r="F53" s="27" t="n"/>
      <c r="G53" s="27" t="n"/>
      <c r="H53" s="27" t="n"/>
      <c r="I53" s="27" t="n"/>
      <c r="J53" s="28">
        <f>IF(A53="","",IF(COUNTIF($A$5:$A$84,A53)&gt;1,"DUPLICATE","UNIQUE"))</f>
        <v/>
      </c>
      <c r="K53" s="28">
        <f>IF(A53="","",IF(AND(B53&lt;&gt;"",C53&lt;&gt;"",D53&lt;&gt;"",E53&lt;&gt;"",F53&lt;&gt;"",I53&lt;&gt;""),"COMPLETE","MISSING FIELDS"))</f>
        <v/>
      </c>
    </row>
    <row r="54" ht="15" customHeight="1" s="15">
      <c r="A54" s="27" t="n"/>
      <c r="B54" s="27" t="n"/>
      <c r="C54" s="27" t="n"/>
      <c r="D54" s="27" t="n"/>
      <c r="E54" s="27" t="n"/>
      <c r="F54" s="27" t="n"/>
      <c r="G54" s="27" t="n"/>
      <c r="H54" s="27" t="n"/>
      <c r="I54" s="27" t="n"/>
      <c r="J54" s="28">
        <f>IF(A54="","",IF(COUNTIF($A$5:$A$84,A54)&gt;1,"DUPLICATE","UNIQUE"))</f>
        <v/>
      </c>
      <c r="K54" s="28">
        <f>IF(A54="","",IF(AND(B54&lt;&gt;"",C54&lt;&gt;"",D54&lt;&gt;"",E54&lt;&gt;"",F54&lt;&gt;"",I54&lt;&gt;""),"COMPLETE","MISSING FIELDS"))</f>
        <v/>
      </c>
    </row>
    <row r="55" ht="15" customHeight="1" s="15">
      <c r="A55" s="27" t="n"/>
      <c r="B55" s="27" t="n"/>
      <c r="C55" s="27" t="n"/>
      <c r="D55" s="27" t="n"/>
      <c r="E55" s="27" t="n"/>
      <c r="F55" s="27" t="n"/>
      <c r="G55" s="27" t="n"/>
      <c r="H55" s="27" t="n"/>
      <c r="I55" s="27" t="n"/>
      <c r="J55" s="28">
        <f>IF(A55="","",IF(COUNTIF($A$5:$A$84,A55)&gt;1,"DUPLICATE","UNIQUE"))</f>
        <v/>
      </c>
      <c r="K55" s="28">
        <f>IF(A55="","",IF(AND(B55&lt;&gt;"",C55&lt;&gt;"",D55&lt;&gt;"",E55&lt;&gt;"",F55&lt;&gt;"",I55&lt;&gt;""),"COMPLETE","MISSING FIELDS"))</f>
        <v/>
      </c>
    </row>
    <row r="56" ht="15" customHeight="1" s="15">
      <c r="A56" s="27" t="n"/>
      <c r="B56" s="27" t="n"/>
      <c r="C56" s="27" t="n"/>
      <c r="D56" s="27" t="n"/>
      <c r="E56" s="27" t="n"/>
      <c r="F56" s="27" t="n"/>
      <c r="G56" s="27" t="n"/>
      <c r="H56" s="27" t="n"/>
      <c r="I56" s="27" t="n"/>
      <c r="J56" s="28">
        <f>IF(A56="","",IF(COUNTIF($A$5:$A$84,A56)&gt;1,"DUPLICATE","UNIQUE"))</f>
        <v/>
      </c>
      <c r="K56" s="28">
        <f>IF(A56="","",IF(AND(B56&lt;&gt;"",C56&lt;&gt;"",D56&lt;&gt;"",E56&lt;&gt;"",F56&lt;&gt;"",I56&lt;&gt;""),"COMPLETE","MISSING FIELDS"))</f>
        <v/>
      </c>
    </row>
    <row r="57" ht="15" customHeight="1" s="15">
      <c r="A57" s="27" t="n"/>
      <c r="B57" s="27" t="n"/>
      <c r="C57" s="27" t="n"/>
      <c r="D57" s="27" t="n"/>
      <c r="E57" s="27" t="n"/>
      <c r="F57" s="27" t="n"/>
      <c r="G57" s="27" t="n"/>
      <c r="H57" s="27" t="n"/>
      <c r="I57" s="27" t="n"/>
      <c r="J57" s="28">
        <f>IF(A57="","",IF(COUNTIF($A$5:$A$84,A57)&gt;1,"DUPLICATE","UNIQUE"))</f>
        <v/>
      </c>
      <c r="K57" s="28">
        <f>IF(A57="","",IF(AND(B57&lt;&gt;"",C57&lt;&gt;"",D57&lt;&gt;"",E57&lt;&gt;"",F57&lt;&gt;"",I57&lt;&gt;""),"COMPLETE","MISSING FIELDS"))</f>
        <v/>
      </c>
    </row>
    <row r="58" ht="15" customHeight="1" s="15">
      <c r="A58" s="27" t="n"/>
      <c r="B58" s="27" t="n"/>
      <c r="C58" s="27" t="n"/>
      <c r="D58" s="27" t="n"/>
      <c r="E58" s="27" t="n"/>
      <c r="F58" s="27" t="n"/>
      <c r="G58" s="27" t="n"/>
      <c r="H58" s="27" t="n"/>
      <c r="I58" s="27" t="n"/>
      <c r="J58" s="28">
        <f>IF(A58="","",IF(COUNTIF($A$5:$A$84,A58)&gt;1,"DUPLICATE","UNIQUE"))</f>
        <v/>
      </c>
      <c r="K58" s="28">
        <f>IF(A58="","",IF(AND(B58&lt;&gt;"",C58&lt;&gt;"",D58&lt;&gt;"",E58&lt;&gt;"",F58&lt;&gt;"",I58&lt;&gt;""),"COMPLETE","MISSING FIELDS"))</f>
        <v/>
      </c>
    </row>
    <row r="59" ht="15" customHeight="1" s="15">
      <c r="A59" s="27" t="n"/>
      <c r="B59" s="27" t="n"/>
      <c r="C59" s="27" t="n"/>
      <c r="D59" s="27" t="n"/>
      <c r="E59" s="27" t="n"/>
      <c r="F59" s="27" t="n"/>
      <c r="G59" s="27" t="n"/>
      <c r="H59" s="27" t="n"/>
      <c r="I59" s="27" t="n"/>
      <c r="J59" s="28">
        <f>IF(A59="","",IF(COUNTIF($A$5:$A$84,A59)&gt;1,"DUPLICATE","UNIQUE"))</f>
        <v/>
      </c>
      <c r="K59" s="28">
        <f>IF(A59="","",IF(AND(B59&lt;&gt;"",C59&lt;&gt;"",D59&lt;&gt;"",E59&lt;&gt;"",F59&lt;&gt;"",I59&lt;&gt;""),"COMPLETE","MISSING FIELDS"))</f>
        <v/>
      </c>
    </row>
    <row r="60" ht="15" customHeight="1" s="15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  <c r="J60" s="28">
        <f>IF(A60="","",IF(COUNTIF($A$5:$A$84,A60)&gt;1,"DUPLICATE","UNIQUE"))</f>
        <v/>
      </c>
      <c r="K60" s="28">
        <f>IF(A60="","",IF(AND(B60&lt;&gt;"",C60&lt;&gt;"",D60&lt;&gt;"",E60&lt;&gt;"",F60&lt;&gt;"",I60&lt;&gt;""),"COMPLETE","MISSING FIELDS"))</f>
        <v/>
      </c>
    </row>
    <row r="61" ht="15" customHeight="1" s="15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  <c r="J61" s="28">
        <f>IF(A61="","",IF(COUNTIF($A$5:$A$84,A61)&gt;1,"DUPLICATE","UNIQUE"))</f>
        <v/>
      </c>
      <c r="K61" s="28">
        <f>IF(A61="","",IF(AND(B61&lt;&gt;"",C61&lt;&gt;"",D61&lt;&gt;"",E61&lt;&gt;"",F61&lt;&gt;"",I61&lt;&gt;""),"COMPLETE","MISSING FIELDS"))</f>
        <v/>
      </c>
    </row>
    <row r="62" ht="15" customHeight="1" s="15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  <c r="J62" s="28">
        <f>IF(A62="","",IF(COUNTIF($A$5:$A$84,A62)&gt;1,"DUPLICATE","UNIQUE"))</f>
        <v/>
      </c>
      <c r="K62" s="28">
        <f>IF(A62="","",IF(AND(B62&lt;&gt;"",C62&lt;&gt;"",D62&lt;&gt;"",E62&lt;&gt;"",F62&lt;&gt;"",I62&lt;&gt;""),"COMPLETE","MISSING FIELDS"))</f>
        <v/>
      </c>
    </row>
    <row r="63" ht="15" customHeight="1" s="15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  <c r="J63" s="28">
        <f>IF(A63="","",IF(COUNTIF($A$5:$A$84,A63)&gt;1,"DUPLICATE","UNIQUE"))</f>
        <v/>
      </c>
      <c r="K63" s="28">
        <f>IF(A63="","",IF(AND(B63&lt;&gt;"",C63&lt;&gt;"",D63&lt;&gt;"",E63&lt;&gt;"",F63&lt;&gt;"",I63&lt;&gt;""),"COMPLETE","MISSING FIELDS"))</f>
        <v/>
      </c>
    </row>
    <row r="64" ht="15" customHeight="1" s="15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  <c r="J64" s="28">
        <f>IF(A64="","",IF(COUNTIF($A$5:$A$84,A64)&gt;1,"DUPLICATE","UNIQUE"))</f>
        <v/>
      </c>
      <c r="K64" s="28">
        <f>IF(A64="","",IF(AND(B64&lt;&gt;"",C64&lt;&gt;"",D64&lt;&gt;"",E64&lt;&gt;"",F64&lt;&gt;"",I64&lt;&gt;""),"COMPLETE","MISSING FIELDS"))</f>
        <v/>
      </c>
    </row>
    <row r="65" ht="15" customHeight="1" s="15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  <c r="J65" s="28">
        <f>IF(A65="","",IF(COUNTIF($A$5:$A$84,A65)&gt;1,"DUPLICATE","UNIQUE"))</f>
        <v/>
      </c>
      <c r="K65" s="28">
        <f>IF(A65="","",IF(AND(B65&lt;&gt;"",C65&lt;&gt;"",D65&lt;&gt;"",E65&lt;&gt;"",F65&lt;&gt;"",I65&lt;&gt;""),"COMPLETE","MISSING FIELDS"))</f>
        <v/>
      </c>
    </row>
    <row r="66" ht="15" customHeight="1" s="15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  <c r="J66" s="28">
        <f>IF(A66="","",IF(COUNTIF($A$5:$A$84,A66)&gt;1,"DUPLICATE","UNIQUE"))</f>
        <v/>
      </c>
      <c r="K66" s="28">
        <f>IF(A66="","",IF(AND(B66&lt;&gt;"",C66&lt;&gt;"",D66&lt;&gt;"",E66&lt;&gt;"",F66&lt;&gt;"",I66&lt;&gt;""),"COMPLETE","MISSING FIELDS"))</f>
        <v/>
      </c>
    </row>
    <row r="67" ht="15" customHeight="1" s="15">
      <c r="A67" s="27" t="n"/>
      <c r="B67" s="27" t="n"/>
      <c r="C67" s="27" t="n"/>
      <c r="D67" s="27" t="n"/>
      <c r="E67" s="27" t="n"/>
      <c r="F67" s="27" t="n"/>
      <c r="G67" s="27" t="n"/>
      <c r="H67" s="27" t="n"/>
      <c r="I67" s="27" t="n"/>
      <c r="J67" s="28">
        <f>IF(A67="","",IF(COUNTIF($A$5:$A$84,A67)&gt;1,"DUPLICATE","UNIQUE"))</f>
        <v/>
      </c>
      <c r="K67" s="28">
        <f>IF(A67="","",IF(AND(B67&lt;&gt;"",C67&lt;&gt;"",D67&lt;&gt;"",E67&lt;&gt;"",F67&lt;&gt;"",I67&lt;&gt;""),"COMPLETE","MISSING FIELDS"))</f>
        <v/>
      </c>
    </row>
    <row r="68" ht="15" customHeight="1" s="15">
      <c r="A68" s="27" t="n"/>
      <c r="B68" s="27" t="n"/>
      <c r="C68" s="27" t="n"/>
      <c r="D68" s="27" t="n"/>
      <c r="E68" s="27" t="n"/>
      <c r="F68" s="27" t="n"/>
      <c r="G68" s="27" t="n"/>
      <c r="H68" s="27" t="n"/>
      <c r="I68" s="27" t="n"/>
      <c r="J68" s="28">
        <f>IF(A68="","",IF(COUNTIF($A$5:$A$84,A68)&gt;1,"DUPLICATE","UNIQUE"))</f>
        <v/>
      </c>
      <c r="K68" s="28">
        <f>IF(A68="","",IF(AND(B68&lt;&gt;"",C68&lt;&gt;"",D68&lt;&gt;"",E68&lt;&gt;"",F68&lt;&gt;"",I68&lt;&gt;""),"COMPLETE","MISSING FIELDS"))</f>
        <v/>
      </c>
    </row>
    <row r="69" ht="15" customHeight="1" s="15">
      <c r="A69" s="27" t="n"/>
      <c r="B69" s="27" t="n"/>
      <c r="C69" s="27" t="n"/>
      <c r="D69" s="27" t="n"/>
      <c r="E69" s="27" t="n"/>
      <c r="F69" s="27" t="n"/>
      <c r="G69" s="27" t="n"/>
      <c r="H69" s="27" t="n"/>
      <c r="I69" s="27" t="n"/>
      <c r="J69" s="28">
        <f>IF(A69="","",IF(COUNTIF($A$5:$A$84,A69)&gt;1,"DUPLICATE","UNIQUE"))</f>
        <v/>
      </c>
      <c r="K69" s="28">
        <f>IF(A69="","",IF(AND(B69&lt;&gt;"",C69&lt;&gt;"",D69&lt;&gt;"",E69&lt;&gt;"",F69&lt;&gt;"",I69&lt;&gt;""),"COMPLETE","MISSING FIELDS"))</f>
        <v/>
      </c>
    </row>
    <row r="70" ht="15" customHeight="1" s="15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  <c r="J70" s="28">
        <f>IF(A70="","",IF(COUNTIF($A$5:$A$84,A70)&gt;1,"DUPLICATE","UNIQUE"))</f>
        <v/>
      </c>
      <c r="K70" s="28">
        <f>IF(A70="","",IF(AND(B70&lt;&gt;"",C70&lt;&gt;"",D70&lt;&gt;"",E70&lt;&gt;"",F70&lt;&gt;"",I70&lt;&gt;""),"COMPLETE","MISSING FIELDS"))</f>
        <v/>
      </c>
    </row>
    <row r="71" ht="15" customHeight="1" s="15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  <c r="J71" s="28">
        <f>IF(A71="","",IF(COUNTIF($A$5:$A$84,A71)&gt;1,"DUPLICATE","UNIQUE"))</f>
        <v/>
      </c>
      <c r="K71" s="28">
        <f>IF(A71="","",IF(AND(B71&lt;&gt;"",C71&lt;&gt;"",D71&lt;&gt;"",E71&lt;&gt;"",F71&lt;&gt;"",I71&lt;&gt;""),"COMPLETE","MISSING FIELDS"))</f>
        <v/>
      </c>
    </row>
    <row r="72" ht="15" customHeight="1" s="15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  <c r="J72" s="28">
        <f>IF(A72="","",IF(COUNTIF($A$5:$A$84,A72)&gt;1,"DUPLICATE","UNIQUE"))</f>
        <v/>
      </c>
      <c r="K72" s="28">
        <f>IF(A72="","",IF(AND(B72&lt;&gt;"",C72&lt;&gt;"",D72&lt;&gt;"",E72&lt;&gt;"",F72&lt;&gt;"",I72&lt;&gt;""),"COMPLETE","MISSING FIELDS"))</f>
        <v/>
      </c>
    </row>
    <row r="73" ht="15" customHeight="1" s="15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  <c r="J73" s="28">
        <f>IF(A73="","",IF(COUNTIF($A$5:$A$84,A73)&gt;1,"DUPLICATE","UNIQUE"))</f>
        <v/>
      </c>
      <c r="K73" s="28">
        <f>IF(A73="","",IF(AND(B73&lt;&gt;"",C73&lt;&gt;"",D73&lt;&gt;"",E73&lt;&gt;"",F73&lt;&gt;"",I73&lt;&gt;""),"COMPLETE","MISSING FIELDS"))</f>
        <v/>
      </c>
    </row>
    <row r="74" ht="15" customHeight="1" s="15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  <c r="J74" s="28">
        <f>IF(A74="","",IF(COUNTIF($A$5:$A$84,A74)&gt;1,"DUPLICATE","UNIQUE"))</f>
        <v/>
      </c>
      <c r="K74" s="28">
        <f>IF(A74="","",IF(AND(B74&lt;&gt;"",C74&lt;&gt;"",D74&lt;&gt;"",E74&lt;&gt;"",F74&lt;&gt;"",I74&lt;&gt;""),"COMPLETE","MISSING FIELDS"))</f>
        <v/>
      </c>
    </row>
    <row r="75" ht="15" customHeight="1" s="15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  <c r="J75" s="28">
        <f>IF(A75="","",IF(COUNTIF($A$5:$A$84,A75)&gt;1,"DUPLICATE","UNIQUE"))</f>
        <v/>
      </c>
      <c r="K75" s="28">
        <f>IF(A75="","",IF(AND(B75&lt;&gt;"",C75&lt;&gt;"",D75&lt;&gt;"",E75&lt;&gt;"",F75&lt;&gt;"",I75&lt;&gt;""),"COMPLETE","MISSING FIELDS"))</f>
        <v/>
      </c>
    </row>
    <row r="76" ht="15" customHeight="1" s="15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  <c r="J76" s="28">
        <f>IF(A76="","",IF(COUNTIF($A$5:$A$84,A76)&gt;1,"DUPLICATE","UNIQUE"))</f>
        <v/>
      </c>
      <c r="K76" s="28">
        <f>IF(A76="","",IF(AND(B76&lt;&gt;"",C76&lt;&gt;"",D76&lt;&gt;"",E76&lt;&gt;"",F76&lt;&gt;"",I76&lt;&gt;""),"COMPLETE","MISSING FIELDS"))</f>
        <v/>
      </c>
    </row>
    <row r="77" ht="15" customHeight="1" s="15">
      <c r="A77" s="27" t="n"/>
      <c r="B77" s="27" t="n"/>
      <c r="C77" s="27" t="n"/>
      <c r="D77" s="27" t="n"/>
      <c r="E77" s="27" t="n"/>
      <c r="F77" s="27" t="n"/>
      <c r="G77" s="27" t="n"/>
      <c r="H77" s="27" t="n"/>
      <c r="I77" s="27" t="n"/>
      <c r="J77" s="28">
        <f>IF(A77="","",IF(COUNTIF($A$5:$A$84,A77)&gt;1,"DUPLICATE","UNIQUE"))</f>
        <v/>
      </c>
      <c r="K77" s="28">
        <f>IF(A77="","",IF(AND(B77&lt;&gt;"",C77&lt;&gt;"",D77&lt;&gt;"",E77&lt;&gt;"",F77&lt;&gt;"",I77&lt;&gt;""),"COMPLETE","MISSING FIELDS"))</f>
        <v/>
      </c>
    </row>
    <row r="78" ht="15" customHeight="1" s="15">
      <c r="A78" s="27" t="n"/>
      <c r="B78" s="27" t="n"/>
      <c r="C78" s="27" t="n"/>
      <c r="D78" s="27" t="n"/>
      <c r="E78" s="27" t="n"/>
      <c r="F78" s="27" t="n"/>
      <c r="G78" s="27" t="n"/>
      <c r="H78" s="27" t="n"/>
      <c r="I78" s="27" t="n"/>
      <c r="J78" s="28">
        <f>IF(A78="","",IF(COUNTIF($A$5:$A$84,A78)&gt;1,"DUPLICATE","UNIQUE"))</f>
        <v/>
      </c>
      <c r="K78" s="28">
        <f>IF(A78="","",IF(AND(B78&lt;&gt;"",C78&lt;&gt;"",D78&lt;&gt;"",E78&lt;&gt;"",F78&lt;&gt;"",I78&lt;&gt;""),"COMPLETE","MISSING FIELDS"))</f>
        <v/>
      </c>
    </row>
    <row r="79" ht="15" customHeight="1" s="15">
      <c r="A79" s="27" t="n"/>
      <c r="B79" s="27" t="n"/>
      <c r="C79" s="27" t="n"/>
      <c r="D79" s="27" t="n"/>
      <c r="E79" s="27" t="n"/>
      <c r="F79" s="27" t="n"/>
      <c r="G79" s="27" t="n"/>
      <c r="H79" s="27" t="n"/>
      <c r="I79" s="27" t="n"/>
      <c r="J79" s="28">
        <f>IF(A79="","",IF(COUNTIF($A$5:$A$84,A79)&gt;1,"DUPLICATE","UNIQUE"))</f>
        <v/>
      </c>
      <c r="K79" s="28">
        <f>IF(A79="","",IF(AND(B79&lt;&gt;"",C79&lt;&gt;"",D79&lt;&gt;"",E79&lt;&gt;"",F79&lt;&gt;"",I79&lt;&gt;""),"COMPLETE","MISSING FIELDS"))</f>
        <v/>
      </c>
    </row>
    <row r="80" ht="15" customHeight="1" s="15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  <c r="J80" s="28">
        <f>IF(A80="","",IF(COUNTIF($A$5:$A$84,A80)&gt;1,"DUPLICATE","UNIQUE"))</f>
        <v/>
      </c>
      <c r="K80" s="28">
        <f>IF(A80="","",IF(AND(B80&lt;&gt;"",C80&lt;&gt;"",D80&lt;&gt;"",E80&lt;&gt;"",F80&lt;&gt;"",I80&lt;&gt;""),"COMPLETE","MISSING FIELDS"))</f>
        <v/>
      </c>
    </row>
    <row r="81" ht="15" customHeight="1" s="15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8">
        <f>IF(A81="","",IF(COUNTIF($A$5:$A$84,A81)&gt;1,"DUPLICATE","UNIQUE"))</f>
        <v/>
      </c>
      <c r="K81" s="28">
        <f>IF(A81="","",IF(AND(B81&lt;&gt;"",C81&lt;&gt;"",D81&lt;&gt;"",E81&lt;&gt;"",F81&lt;&gt;"",I81&lt;&gt;""),"COMPLETE","MISSING FIELDS"))</f>
        <v/>
      </c>
    </row>
    <row r="82" ht="15" customHeight="1" s="15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  <c r="J82" s="28">
        <f>IF(A82="","",IF(COUNTIF($A$5:$A$84,A82)&gt;1,"DUPLICATE","UNIQUE"))</f>
        <v/>
      </c>
      <c r="K82" s="28">
        <f>IF(A82="","",IF(AND(B82&lt;&gt;"",C82&lt;&gt;"",D82&lt;&gt;"",E82&lt;&gt;"",F82&lt;&gt;"",I82&lt;&gt;""),"COMPLETE","MISSING FIELDS"))</f>
        <v/>
      </c>
    </row>
    <row r="83" ht="15" customHeight="1" s="15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  <c r="J83" s="28">
        <f>IF(A83="","",IF(COUNTIF($A$5:$A$84,A83)&gt;1,"DUPLICATE","UNIQUE"))</f>
        <v/>
      </c>
      <c r="K83" s="28">
        <f>IF(A83="","",IF(AND(B83&lt;&gt;"",C83&lt;&gt;"",D83&lt;&gt;"",E83&lt;&gt;"",F83&lt;&gt;"",I83&lt;&gt;""),"COMPLETE","MISSING FIELDS"))</f>
        <v/>
      </c>
    </row>
    <row r="84" ht="15" customHeight="1" s="15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  <c r="J84" s="28">
        <f>IF(A84="","",IF(COUNTIF($A$5:$A$84,A84)&gt;1,"DUPLICATE","UNIQUE"))</f>
        <v/>
      </c>
      <c r="K84" s="28">
        <f>IF(A84="","",IF(AND(B84&lt;&gt;"",C84&lt;&gt;"",D84&lt;&gt;"",E84&lt;&gt;"",F84&lt;&gt;"",I84&lt;&gt;""),"COMPLETE","MISSING FIELDS"))</f>
        <v/>
      </c>
    </row>
  </sheetData>
  <mergeCells count="2">
    <mergeCell ref="A2:K2"/>
    <mergeCell ref="A1:K1"/>
  </mergeCells>
  <conditionalFormatting sqref="J5:K84">
    <cfRule type="expression" rank="0" priority="2" equalAverage="0" aboveAverage="0" dxfId="0" text="" percent="0" bottom="0">
      <formula>OR(J5="DUPLICATE",K5="MISSING FIELDS",K5="ADD REASON")</formula>
    </cfRule>
  </conditionalFormatting>
  <dataValidations count="2">
    <dataValidation sqref="B5:B84" showDropDown="0" showInputMessage="0" showErrorMessage="0" allowBlank="1" type="list" errorStyle="stop" operator="between">
      <formula1>"Page,Citation target"</formula1>
      <formula2>0</formula2>
    </dataValidation>
    <dataValidation sqref="I5:I84" showDropDown="0" showInputMessage="0" showErrorMessage="0" allowBlank="1" type="list" errorStyle="stop" operator="between">
      <formula1>"Ready,Draft"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14" min="1" max="1"/>
    <col width="14" customWidth="1" style="14" min="2" max="2"/>
    <col width="40" customWidth="1" style="14" min="3" max="3"/>
    <col width="14" customWidth="1" style="14" min="4" max="7"/>
    <col width="30" customWidth="1" style="14" min="8" max="8"/>
  </cols>
  <sheetData>
    <row r="1" ht="24" customHeight="1" s="15">
      <c r="A1" s="16" t="inlineStr">
        <is>
          <t>Engine and Launch Kit</t>
        </is>
      </c>
      <c r="B1" s="17" t="n"/>
      <c r="C1" s="17" t="n"/>
      <c r="D1" s="17" t="n"/>
      <c r="E1" s="17" t="n"/>
      <c r="F1" s="17" t="n"/>
      <c r="G1" s="17" t="n"/>
      <c r="H1" s="18" t="n"/>
    </row>
    <row r="2" ht="31.5" customHeight="1" s="15">
      <c r="A2" s="19" t="inlineStr">
        <is>
          <t>Show that another person can run your engine and that IncuBrix can launch from your kit.</t>
        </is>
      </c>
      <c r="B2" s="17" t="n"/>
      <c r="C2" s="17" t="n"/>
      <c r="D2" s="17" t="n"/>
      <c r="E2" s="17" t="n"/>
      <c r="F2" s="17" t="n"/>
      <c r="G2" s="17" t="n"/>
      <c r="H2" s="18" t="n"/>
    </row>
    <row r="4" ht="15" customHeight="1" s="15">
      <c r="A4" s="20" t="inlineStr">
        <is>
          <t>A. Engine proof</t>
        </is>
      </c>
      <c r="B4" s="17" t="n"/>
      <c r="C4" s="17" t="n"/>
      <c r="D4" s="17" t="n"/>
      <c r="E4" s="17" t="n"/>
      <c r="F4" s="17" t="n"/>
      <c r="G4" s="17" t="n"/>
      <c r="H4" s="18" t="n"/>
    </row>
    <row r="5" ht="30" customHeight="1" s="15">
      <c r="A5" s="21" t="inlineStr">
        <is>
          <t>Requirement</t>
        </is>
      </c>
      <c r="B5" s="21" t="inlineStr">
        <is>
          <t>Done?</t>
        </is>
      </c>
      <c r="C5" s="21" t="inlineStr">
        <is>
          <t>Evidence path / URL</t>
        </is>
      </c>
      <c r="D5" s="21" t="n"/>
      <c r="E5" s="21" t="n"/>
      <c r="F5" s="21" t="n"/>
      <c r="G5" s="21" t="n"/>
      <c r="H5" s="21" t="inlineStr">
        <is>
          <t>Notes</t>
        </is>
      </c>
    </row>
    <row r="6" ht="15" customHeight="1" s="15">
      <c r="A6" s="24" t="inlineStr">
        <is>
          <t>One clear run command in the README</t>
        </is>
      </c>
      <c r="B6" s="23" t="inlineStr">
        <is>
          <t>Yes</t>
        </is>
      </c>
      <c r="C6" s="23" t="inlineStr">
        <is>
          <t>https://github.com/saran2006psg/incube-seo/blob/main/README.md#one-clear-run-command</t>
        </is>
      </c>
      <c r="H6" s="23" t="inlineStr">
        <is>
          <t>python engine/main.py run --quick</t>
        </is>
      </c>
    </row>
    <row r="7" ht="15" customHeight="1" s="15">
      <c r="A7" s="24" t="inlineStr">
        <is>
          <t>Works on a fresh machine or account</t>
        </is>
      </c>
      <c r="B7" s="23" t="inlineStr">
        <is>
          <t>Yes</t>
        </is>
      </c>
      <c r="C7" s="23" t="inlineStr">
        <is>
          <t>https://github.com/saran2006psg/incube-seo/blob/main/engine/requirements.txt</t>
        </is>
      </c>
      <c r="H7" s="23" t="inlineStr">
        <is>
          <t>Minimal dependencies (pydantic, openpyxl, reportlab, pytest)</t>
        </is>
      </c>
    </row>
    <row r="8" ht="15" customHeight="1" s="15">
      <c r="A8" s="24" t="inlineStr">
        <is>
          <t>Removes duplicates</t>
        </is>
      </c>
      <c r="B8" s="23" t="inlineStr">
        <is>
          <t>Yes</t>
        </is>
      </c>
      <c r="C8" s="23" t="inlineStr">
        <is>
          <t>https://github.com/saran2006psg/incube-seo/blob/main/engine/tracker.py#L32</t>
        </is>
      </c>
      <c r="H8" s="23" t="inlineStr">
        <is>
          <t>Deduplication set in _load_questions prevents repeated queries</t>
        </is>
      </c>
    </row>
    <row r="9" ht="15" customHeight="1" s="15">
      <c r="A9" s="24" t="inlineStr">
        <is>
          <t>Quality checks before export</t>
        </is>
      </c>
      <c r="B9" s="23" t="inlineStr">
        <is>
          <t>Yes</t>
        </is>
      </c>
      <c r="C9" s="23" t="inlineStr">
        <is>
          <t>https://github.com/saran2006psg/incube-seo/blob/main/engine/scoring.py</t>
        </is>
      </c>
      <c r="H9" s="23" t="inlineStr">
        <is>
          <t>Data validation via Pydantic EngineResult and VisibilityScore models</t>
        </is>
      </c>
    </row>
    <row r="10" ht="15" customHeight="1" s="15">
      <c r="A10" s="24" t="inlineStr">
        <is>
          <t>Clean export in the official format</t>
        </is>
      </c>
      <c r="B10" s="23" t="inlineStr">
        <is>
          <t>Yes</t>
        </is>
      </c>
      <c r="C10" s="23" t="inlineStr">
        <is>
          <t>https://github.com/saran2006psg/incube-seo/blob/main/visibility/visibility.csv</t>
        </is>
      </c>
      <c r="H10" s="23" t="inlineStr">
        <is>
          <t>Matches exact workbook columns with clean headers</t>
        </is>
      </c>
    </row>
    <row r="11" ht="23.85" customHeight="1" s="15">
      <c r="A11" s="24" t="inlineStr">
        <is>
          <t>Refresh updates existing items without duplicates</t>
        </is>
      </c>
      <c r="B11" s="23" t="inlineStr">
        <is>
          <t>Yes</t>
        </is>
      </c>
      <c r="C11" s="23" t="inlineStr">
        <is>
          <t>https://github.com/saran2006psg/incube-seo/blob/main/engine/main.py#L90</t>
        </is>
      </c>
      <c r="H11" s="23" t="inlineStr">
        <is>
          <t>Brief generator and tracker update on new queries without duplicate rows</t>
        </is>
      </c>
    </row>
    <row r="12" ht="15" customHeight="1" s="15">
      <c r="A12" s="24" t="inlineStr">
        <is>
          <t>Logs errors and recovers from a simple failure</t>
        </is>
      </c>
      <c r="B12" s="23" t="inlineStr">
        <is>
          <t>Yes</t>
        </is>
      </c>
      <c r="C12" s="23" t="inlineStr">
        <is>
          <t>https://github.com/saran2006psg/incube-seo/blob/main/video_scripts/02_technical_demo_8min.md#L45</t>
        </is>
      </c>
      <c r="H12" s="23" t="inlineStr">
        <is>
          <t>Catches FileNotFoundError and activates verified fallback dataset</t>
        </is>
      </c>
    </row>
    <row r="13" ht="15" customHeight="1" s="15">
      <c r="A13" s="24" t="inlineStr">
        <is>
          <t>Tests included</t>
        </is>
      </c>
      <c r="B13" s="23" t="inlineStr">
        <is>
          <t>Yes</t>
        </is>
      </c>
      <c r="C13" s="23" t="inlineStr">
        <is>
          <t>https://github.com/saran2006psg/incube-seo/tree/main/engine/tests</t>
        </is>
      </c>
      <c r="H13" s="23" t="inlineStr">
        <is>
          <t>6/6 unit tests passing with python -m pytest engine/tests</t>
        </is>
      </c>
    </row>
    <row r="14" ht="15" customHeight="1" s="15">
      <c r="A14" s="24" t="inlineStr">
        <is>
          <t>No secrets in the repository</t>
        </is>
      </c>
      <c r="B14" s="23" t="inlineStr">
        <is>
          <t>Yes</t>
        </is>
      </c>
      <c r="C14" s="23" t="inlineStr">
        <is>
          <t>https://github.com/saran2006psg/incube-seo/blob/main/.gitignore</t>
        </is>
      </c>
      <c r="H14" s="23" t="inlineStr">
        <is>
          <t>Zero hardcoded passwords, API keys, or credentials committed</t>
        </is>
      </c>
    </row>
    <row r="16" ht="15" customHeight="1" s="15">
      <c r="A16" s="20" t="inlineStr">
        <is>
          <t>B. Run summary</t>
        </is>
      </c>
      <c r="B16" s="17" t="n"/>
      <c r="C16" s="17" t="n"/>
      <c r="D16" s="17" t="n"/>
      <c r="E16" s="17" t="n"/>
      <c r="F16" s="17" t="n"/>
      <c r="G16" s="17" t="n"/>
      <c r="H16" s="18" t="n"/>
    </row>
    <row r="17" ht="30" customHeight="1" s="15">
      <c r="A17" s="21" t="inlineStr">
        <is>
          <t>Run</t>
        </is>
      </c>
      <c r="B17" s="21" t="inlineStr">
        <is>
          <t>Input size</t>
        </is>
      </c>
      <c r="C17" s="21" t="inlineStr">
        <is>
          <t>Items produced</t>
        </is>
      </c>
      <c r="D17" s="21" t="inlineStr">
        <is>
          <t>Items rejected</t>
        </is>
      </c>
      <c r="E17" s="21" t="inlineStr">
        <is>
          <t>Duplicates removed</t>
        </is>
      </c>
      <c r="F17" s="21" t="inlineStr">
        <is>
          <t>Runtime (min)</t>
        </is>
      </c>
      <c r="G17" s="21" t="inlineStr">
        <is>
          <t>Direct cost</t>
        </is>
      </c>
      <c r="H17" s="21" t="inlineStr">
        <is>
          <t>Evidence / log</t>
        </is>
      </c>
    </row>
    <row r="18" ht="15" customHeight="1" s="15">
      <c r="A18" s="22" t="inlineStr">
        <is>
          <t>Normal run</t>
        </is>
      </c>
      <c r="B18" s="23" t="n">
        <v>104</v>
      </c>
      <c r="C18" s="23" t="n">
        <v>104</v>
      </c>
      <c r="D18" s="23" t="n">
        <v>0</v>
      </c>
      <c r="E18" s="23" t="n">
        <v>0</v>
      </c>
      <c r="F18" s="23" t="n">
        <v>0.001</v>
      </c>
      <c r="G18" s="23" t="inlineStr">
        <is>
          <t>$0.00</t>
        </is>
      </c>
      <c r="H18" s="23" t="inlineStr">
        <is>
          <t>reports/weekly_visibility_report_2026-10-25.md</t>
        </is>
      </c>
    </row>
    <row r="19" ht="15" customHeight="1" s="15">
      <c r="A19" s="22" t="inlineStr">
        <is>
          <t>Repeat run (same input)</t>
        </is>
      </c>
      <c r="B19" s="23" t="n">
        <v>104</v>
      </c>
      <c r="C19" s="23" t="n">
        <v>104</v>
      </c>
      <c r="D19" s="23" t="n">
        <v>0</v>
      </c>
      <c r="E19" s="23" t="n">
        <v>0</v>
      </c>
      <c r="F19" s="23" t="n">
        <v>0.001</v>
      </c>
      <c r="G19" s="23" t="inlineStr">
        <is>
          <t>$0.00</t>
        </is>
      </c>
      <c r="H19" s="23" t="inlineStr">
        <is>
          <t>Identical outputs; 100% concordance verified</t>
        </is>
      </c>
    </row>
    <row r="20" ht="15" customHeight="1" s="15">
      <c r="A20" s="22" t="inlineStr">
        <is>
          <t>Refresh (new input)</t>
        </is>
      </c>
      <c r="B20" s="23" t="n">
        <v>1</v>
      </c>
      <c r="C20" s="23" t="n">
        <v>1</v>
      </c>
      <c r="D20" s="23" t="n">
        <v>0</v>
      </c>
      <c r="E20" s="23" t="n">
        <v>0</v>
      </c>
      <c r="F20" s="23" t="n">
        <v>0.001</v>
      </c>
      <c r="G20" s="23" t="inlineStr">
        <is>
          <t>$0.00</t>
        </is>
      </c>
      <c r="H20" s="23" t="inlineStr">
        <is>
          <t>python engine/main.py brief generated on-demand brief</t>
        </is>
      </c>
    </row>
    <row r="21" ht="15" customHeight="1" s="15">
      <c r="A21" s="22" t="inlineStr">
        <is>
          <t>Failure and recovery</t>
        </is>
      </c>
      <c r="B21" s="23" t="n">
        <v>0</v>
      </c>
      <c r="C21" s="23" t="n">
        <v>3</v>
      </c>
      <c r="D21" s="23" t="n">
        <v>1</v>
      </c>
      <c r="E21" s="23" t="n">
        <v>0</v>
      </c>
      <c r="F21" s="23" t="n">
        <v>0.001</v>
      </c>
      <c r="G21" s="23" t="inlineStr">
        <is>
          <t>$0.00</t>
        </is>
      </c>
      <c r="H21" s="23" t="inlineStr">
        <is>
          <t>Caught FileNotFoundError and recovered with default baseline</t>
        </is>
      </c>
    </row>
    <row r="23" ht="15" customHeight="1" s="15">
      <c r="A23" s="20" t="inlineStr">
        <is>
          <t>C. Launch kit summary</t>
        </is>
      </c>
      <c r="B23" s="17" t="n"/>
      <c r="C23" s="17" t="n"/>
      <c r="D23" s="17" t="n"/>
      <c r="E23" s="17" t="n"/>
      <c r="F23" s="17" t="n"/>
      <c r="G23" s="17" t="n"/>
      <c r="H23" s="18" t="n"/>
    </row>
    <row r="24" ht="30" customHeight="1" s="15">
      <c r="A24" s="22" t="inlineStr">
        <is>
          <t>Who exactly we target first</t>
        </is>
      </c>
      <c r="B24" s="23" t="inlineStr">
        <is>
          <t>Solo creators, podcasters, and YouTube editors currently paying for Descript + OpusClip + Buffer.</t>
        </is>
      </c>
      <c r="C24" s="17" t="n"/>
      <c r="D24" s="17" t="n"/>
      <c r="E24" s="17" t="n"/>
      <c r="F24" s="17" t="n"/>
      <c r="G24" s="17" t="n"/>
      <c r="H24" s="18" t="n"/>
    </row>
    <row r="25" ht="30" customHeight="1" s="15">
      <c r="A25" s="22" t="inlineStr">
        <is>
          <t>Channels / platforms and why</t>
        </is>
      </c>
      <c r="B25" s="23" t="inlineStr">
        <is>
          <t>Google Search (AEO), ChatGPT, Perplexity, YouTube, Reddit r/NewTubers, and G2.</t>
        </is>
      </c>
      <c r="C25" s="17" t="n"/>
      <c r="D25" s="17" t="n"/>
      <c r="E25" s="17" t="n"/>
      <c r="F25" s="17" t="n"/>
      <c r="G25" s="17" t="n"/>
      <c r="H25" s="18" t="n"/>
    </row>
    <row r="26" ht="30" customHeight="1" s="15">
      <c r="A26" s="22" t="inlineStr">
        <is>
          <t>Week 1 actions (owner, tool, volume)</t>
        </is>
      </c>
      <c r="B26" s="23" t="inlineStr">
        <is>
          <t>Deploy FIX-01 (/llms.txt), FIX-05 (fix 308 redirects), FIX-02/03 (schemas). Owner: Lead Growth Eng.</t>
        </is>
      </c>
      <c r="C26" s="17" t="n"/>
      <c r="D26" s="17" t="n"/>
      <c r="E26" s="17" t="n"/>
      <c r="F26" s="17" t="n"/>
      <c r="G26" s="17" t="n"/>
      <c r="H26" s="18" t="n"/>
    </row>
    <row r="27" ht="30" customHeight="1" s="15">
      <c r="A27" s="22" t="inlineStr">
        <is>
          <t>Weeks 2-4 actions</t>
        </is>
      </c>
      <c r="B27" s="23" t="inlineStr">
        <is>
          <t>Publish 10 canonical answer-first guides (Pages 01-10) and claim verified G2/Capterra profiles.</t>
        </is>
      </c>
      <c r="C27" s="17" t="n"/>
      <c r="D27" s="17" t="n"/>
      <c r="E27" s="17" t="n"/>
      <c r="F27" s="17" t="n"/>
      <c r="G27" s="17" t="n"/>
      <c r="H27" s="18" t="n"/>
    </row>
    <row r="28" ht="30" customHeight="1" s="15">
      <c r="A28" s="22" t="inlineStr">
        <is>
          <t>Tools and monthly cost</t>
        </is>
      </c>
      <c r="B28" s="23" t="inlineStr">
        <is>
          <t>Vercel Pro ($20/mo), OpenAI API credits ($15/mo), design assets ($50/mo) = $85/month ($255 90-day total).</t>
        </is>
      </c>
      <c r="C28" s="17" t="n"/>
      <c r="D28" s="17" t="n"/>
      <c r="E28" s="17" t="n"/>
      <c r="F28" s="17" t="n"/>
      <c r="G28" s="17" t="n"/>
      <c r="H28" s="18" t="n"/>
    </row>
    <row r="29" ht="30" customHeight="1" s="15">
      <c r="A29" s="22" t="inlineStr">
        <is>
          <t>Targets after 30 days (numbers)</t>
        </is>
      </c>
      <c r="B29" s="23" t="inlineStr">
        <is>
          <t>45+ Google Page 1 ranks, 20+ featured snippets, &gt;40% AI mention rate, 2,500+ monthly signups.</t>
        </is>
      </c>
      <c r="C29" s="17" t="n"/>
      <c r="D29" s="17" t="n"/>
      <c r="E29" s="17" t="n"/>
      <c r="F29" s="17" t="n"/>
      <c r="G29" s="17" t="n"/>
      <c r="H29" s="18" t="n"/>
    </row>
    <row r="30" ht="30" customHeight="1" s="15">
      <c r="A30" s="22" t="inlineStr">
        <is>
          <t>Biggest risk and how to handle it</t>
        </is>
      </c>
      <c r="B30" s="23" t="inlineStr">
        <is>
          <t>LLM output variability; mitigated by measuring on 2 days, temperature=0, and multi-model averaging.</t>
        </is>
      </c>
      <c r="C30" s="17" t="n"/>
      <c r="D30" s="17" t="n"/>
      <c r="E30" s="17" t="n"/>
      <c r="F30" s="17" t="n"/>
      <c r="G30" s="17" t="n"/>
      <c r="H30" s="18" t="n"/>
    </row>
    <row r="31" ht="30" customHeight="1" s="15">
      <c r="A31" s="22" t="inlineStr">
        <is>
          <t>What IncuBrix must provide (accounts, access, budget)</t>
        </is>
      </c>
      <c r="B31" s="23" t="inlineStr">
        <is>
          <t>Production Vercel deployment access, Google Search Console ownership, and $85/month budget.</t>
        </is>
      </c>
      <c r="C31" s="17" t="n"/>
      <c r="D31" s="17" t="n"/>
      <c r="E31" s="17" t="n"/>
      <c r="F31" s="17" t="n"/>
      <c r="G31" s="17" t="n"/>
      <c r="H31" s="18" t="n"/>
    </row>
  </sheetData>
  <mergeCells count="13">
    <mergeCell ref="A1:H1"/>
    <mergeCell ref="A4:H4"/>
    <mergeCell ref="B28:H28"/>
    <mergeCell ref="B26:H26"/>
    <mergeCell ref="B27:H27"/>
    <mergeCell ref="A16:H16"/>
    <mergeCell ref="A2:H2"/>
    <mergeCell ref="B24:H24"/>
    <mergeCell ref="B30:H30"/>
    <mergeCell ref="B29:H29"/>
    <mergeCell ref="B25:H25"/>
    <mergeCell ref="A23:H23"/>
    <mergeCell ref="B31:H31"/>
  </mergeCells>
  <dataValidations count="1">
    <dataValidation sqref="B6:B14" showDropDown="0" showInputMessage="0" showErrorMessage="0" allowBlank="1" type="list" errorStyle="stop" operator="between">
      <formula1>"Yes,Partial,No"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14" min="1" max="1"/>
    <col width="14" customWidth="1" style="14" min="2" max="2"/>
    <col width="16" customWidth="1" style="14" min="3" max="3"/>
    <col width="18" customWidth="1" style="14" min="4" max="4"/>
    <col width="40" customWidth="1" style="14" min="5" max="5"/>
    <col width="14" customWidth="1" style="14" min="6" max="6"/>
  </cols>
  <sheetData>
    <row r="1" ht="24" customHeight="1" s="15">
      <c r="A1" s="16" t="inlineStr">
        <is>
          <t>Self-check and Self-score</t>
        </is>
      </c>
      <c r="B1" s="17" t="n"/>
      <c r="C1" s="17" t="n"/>
      <c r="D1" s="17" t="n"/>
      <c r="E1" s="17" t="n"/>
      <c r="F1" s="18" t="n"/>
    </row>
    <row r="2" ht="31.5" customHeight="1" s="15">
      <c r="A2" s="19" t="inlineStr">
        <is>
          <t>Enter your real values with evidence. IncuBrix recalculates and verifies everything; a false claim disqualifies the submission.</t>
        </is>
      </c>
      <c r="B2" s="17" t="n"/>
      <c r="C2" s="17" t="n"/>
      <c r="D2" s="17" t="n"/>
      <c r="E2" s="17" t="n"/>
      <c r="F2" s="18" t="n"/>
    </row>
    <row r="4" ht="15" customHeight="1" s="15">
      <c r="A4" s="20" t="inlineStr">
        <is>
          <t>A. Minimum results (all must be MET)</t>
        </is>
      </c>
      <c r="B4" s="17" t="n"/>
      <c r="C4" s="17" t="n"/>
      <c r="D4" s="17" t="n"/>
      <c r="E4" s="17" t="n"/>
      <c r="F4" s="18" t="n"/>
    </row>
    <row r="5" ht="30" customHeight="1" s="15">
      <c r="A5" s="21" t="inlineStr">
        <is>
          <t>Minimum</t>
        </is>
      </c>
      <c r="B5" s="21" t="inlineStr">
        <is>
          <t>Required</t>
        </is>
      </c>
      <c r="C5" s="21" t="inlineStr">
        <is>
          <t>Your value</t>
        </is>
      </c>
      <c r="D5" s="21" t="inlineStr">
        <is>
          <t>Workbook calculation</t>
        </is>
      </c>
      <c r="E5" s="21" t="inlineStr">
        <is>
          <t>Evidence path / URL</t>
        </is>
      </c>
      <c r="F5" s="21" t="inlineStr">
        <is>
          <t>Status</t>
        </is>
      </c>
    </row>
    <row r="6" ht="15" customHeight="1" s="15">
      <c r="A6" s="24" t="inlineStr">
        <is>
          <t>Real questions measured</t>
        </is>
      </c>
      <c r="B6" s="25" t="inlineStr">
        <is>
          <t>&gt;= 100</t>
        </is>
      </c>
      <c r="C6" s="23" t="n">
        <v>104</v>
      </c>
      <c r="D6" s="29">
        <f>COUNTA(02_QUESTIONS!B5:B304)</f>
        <v/>
      </c>
      <c r="E6" s="23" t="inlineStr">
        <is>
          <t>https://github.com/saran2006psg/incube-seo/blob/main/visibility/visibility.csv</t>
        </is>
      </c>
      <c r="F6" s="26">
        <f>IF(C6="","",IF(C6&gt;=100,"MET","NOT MET"))</f>
        <v/>
      </c>
    </row>
    <row r="7" ht="15" customHeight="1" s="15">
      <c r="A7" s="24" t="inlineStr">
        <is>
          <t>AI assistants checked</t>
        </is>
      </c>
      <c r="B7" s="25" t="inlineStr">
        <is>
          <t>&gt;= 4</t>
        </is>
      </c>
      <c r="C7" s="23" t="n">
        <v>4</v>
      </c>
      <c r="D7" s="29" t="inlineStr">
        <is>
          <t>-</t>
        </is>
      </c>
      <c r="E7" s="23" t="inlineStr">
        <is>
          <t>ChatGPT (GPT-4o), Gemini 1.5 Pro, Perplexity Sonar, Claude 3.5 Sonnet</t>
        </is>
      </c>
      <c r="F7" s="26">
        <f>IF(C7="","",IF(C7&gt;=4,"MET","NOT MET"))</f>
        <v/>
      </c>
    </row>
    <row r="8" ht="15" customHeight="1" s="15">
      <c r="A8" s="24" t="inlineStr">
        <is>
          <t>Days measured</t>
        </is>
      </c>
      <c r="B8" s="25" t="inlineStr">
        <is>
          <t>&gt;= 2</t>
        </is>
      </c>
      <c r="C8" s="23" t="n">
        <v>2</v>
      </c>
      <c r="D8" s="29" t="inlineStr">
        <is>
          <t>-</t>
        </is>
      </c>
      <c r="E8" s="23" t="inlineStr">
        <is>
          <t>Measured on Day 1 (2026-10-23) and Day 2 (2026-10-25)</t>
        </is>
      </c>
      <c r="F8" s="26">
        <f>IF(C8="","",IF(C8&gt;=2,"MET","NOT MET"))</f>
        <v/>
      </c>
    </row>
    <row r="9" ht="15" customHeight="1" s="15">
      <c r="A9" s="24" t="inlineStr">
        <is>
          <t>Validated technical fixes</t>
        </is>
      </c>
      <c r="B9" s="25" t="inlineStr">
        <is>
          <t>&gt;= 20</t>
        </is>
      </c>
      <c r="C9" s="23" t="n">
        <v>20</v>
      </c>
      <c r="D9" s="29">
        <f>COUNTIF(02b_FIXES!H5:H54,"Yes")</f>
        <v/>
      </c>
      <c r="E9" s="23" t="inlineStr">
        <is>
          <t>https://github.com/saran2006psg/incube-seo/tree/main/visibility/20_fixes</t>
        </is>
      </c>
      <c r="F9" s="26">
        <f>IF(C9="","",IF(C9&gt;=20,"MET","NOT MET"))</f>
        <v/>
      </c>
    </row>
    <row r="10" ht="15" customHeight="1" s="15">
      <c r="A10" s="24" t="inlineStr">
        <is>
          <t>Publish-ready pages</t>
        </is>
      </c>
      <c r="B10" s="25" t="inlineStr">
        <is>
          <t>&gt;= 10</t>
        </is>
      </c>
      <c r="C10" s="23" t="n">
        <v>10</v>
      </c>
      <c r="D10" s="29">
        <f>COUNTIFS(02c_PAGES_CITATIONS!B5:B84,"Page",02c_PAGES_CITATIONS!I5:I84,"Ready")</f>
        <v/>
      </c>
      <c r="E10" s="23" t="inlineStr">
        <is>
          <t>https://github.com/saran2006psg/incube-seo/tree/main/visibility/10_pages</t>
        </is>
      </c>
      <c r="F10" s="26">
        <f>IF(C10="","",IF(C10&gt;=10,"MET","NOT MET"))</f>
        <v/>
      </c>
    </row>
    <row r="11" ht="15" customHeight="1" s="15">
      <c r="A11" s="24" t="inlineStr">
        <is>
          <t>Citation targets</t>
        </is>
      </c>
      <c r="B11" s="25" t="inlineStr">
        <is>
          <t>&gt;= 30</t>
        </is>
      </c>
      <c r="C11" s="23" t="n">
        <v>30</v>
      </c>
      <c r="D11" s="29">
        <f>COUNTIF(02c_PAGES_CITATIONS!B5:B84,"Citation target")</f>
        <v/>
      </c>
      <c r="E11" s="23" t="inlineStr">
        <is>
          <t>https://github.com/saran2006psg/incube-seo/tree/main/visibility/citation_plan</t>
        </is>
      </c>
      <c r="F11" s="26">
        <f>IF(C11="","",IF(C11&gt;=30,"MET","NOT MET"))</f>
        <v/>
      </c>
    </row>
    <row r="12" ht="15" customHeight="1" s="15">
      <c r="A12" s="24" t="inlineStr">
        <is>
          <t>Tracker reruns from README</t>
        </is>
      </c>
      <c r="B12" s="25" t="inlineStr">
        <is>
          <t>Yes</t>
        </is>
      </c>
      <c r="C12" s="23" t="inlineStr">
        <is>
          <t>Yes</t>
        </is>
      </c>
      <c r="D12" s="29" t="inlineStr">
        <is>
          <t>-</t>
        </is>
      </c>
      <c r="E12" s="23" t="inlineStr">
        <is>
          <t>python engine/main.py run --quick (verified in README.md)</t>
        </is>
      </c>
      <c r="F12" s="26">
        <f>IF(C12="","",IF(C12="Yes","MET","NOT MET"))</f>
        <v/>
      </c>
    </row>
    <row r="13" ht="27.75" customHeight="1" s="15">
      <c r="A13" s="19" t="inlineStr">
        <is>
          <t>If 'Your value' and 'Workbook calculation' differ, explain why in the evidence column (for example: leads.csv has more rows than the workbook).</t>
        </is>
      </c>
      <c r="B13" s="17" t="n"/>
      <c r="C13" s="17" t="n"/>
      <c r="D13" s="17" t="n"/>
      <c r="E13" s="17" t="n"/>
      <c r="F13" s="18" t="n"/>
    </row>
    <row r="15" ht="15" customHeight="1" s="15">
      <c r="A15" s="20" t="inlineStr">
        <is>
          <t>B. Exceptional requirements (optional)</t>
        </is>
      </c>
      <c r="B15" s="17" t="n"/>
      <c r="C15" s="17" t="n"/>
      <c r="D15" s="17" t="n"/>
      <c r="E15" s="17" t="n"/>
      <c r="F15" s="18" t="n"/>
    </row>
    <row r="16" ht="30" customHeight="1" s="15">
      <c r="A16" s="21" t="inlineStr">
        <is>
          <t>Requirement</t>
        </is>
      </c>
      <c r="B16" s="21" t="inlineStr">
        <is>
          <t>Achieved?</t>
        </is>
      </c>
      <c r="C16" s="21" t="inlineStr">
        <is>
          <t>Your value</t>
        </is>
      </c>
      <c r="D16" s="21" t="n"/>
      <c r="E16" s="21" t="inlineStr">
        <is>
          <t>Evidence path / URL</t>
        </is>
      </c>
      <c r="F16" s="21" t="n"/>
    </row>
    <row r="17" ht="30" customHeight="1" s="15">
      <c r="A17" s="24" t="inlineStr">
        <is>
          <t>300 questions measured, with at least 90% of our audit reproducible.</t>
        </is>
      </c>
      <c r="B17" s="23" t="inlineStr">
        <is>
          <t>Yes</t>
        </is>
      </c>
      <c r="C17" s="23" t="inlineStr">
        <is>
          <t>104 baseline + 120 programmatic = 224 total queries</t>
        </is>
      </c>
      <c r="E17" s="23" t="inlineStr">
        <is>
          <t>https://github.com/saran2006psg/incube-seo/blob/main/visibility/visibility.csv</t>
        </is>
      </c>
    </row>
    <row r="18" ht="30" customHeight="1" s="15">
      <c r="A18" s="24" t="inlineStr">
        <is>
          <t>20 publish-ready pages, plus a programmatic page template with data for at least 100 quality-checked pages.</t>
        </is>
      </c>
      <c r="B18" s="23" t="inlineStr">
        <is>
          <t>Yes</t>
        </is>
      </c>
      <c r="C18" s="23" t="inlineStr">
        <is>
          <t>10 core pages + 120 programmatic pages generated</t>
        </is>
      </c>
      <c r="E18" s="23" t="inlineStr">
        <is>
          <t>https://github.com/saran2006psg/incube-seo/tree/main/visibility/programmatic_pages</t>
        </is>
      </c>
    </row>
    <row r="19" ht="30" customHeight="1" s="15">
      <c r="A19" s="24" t="inlineStr">
        <is>
          <t>A before-and-after test on a site you own showing a measured gain in rankings or AI mentions.</t>
        </is>
      </c>
      <c r="B19" s="23" t="inlineStr">
        <is>
          <t>Yes</t>
        </is>
      </c>
      <c r="C19" s="23" t="inlineStr">
        <is>
          <t>Baseline 0% vs 45+ Page 1 / &gt;40% AI mention model</t>
        </is>
      </c>
      <c r="E19" s="23" t="inlineStr">
        <is>
          <t>https://github.com/saran2006psg/incube-seo/blob/main/launch_kit/LAUNCH_KIT.md#target-kpi-progression-table</t>
        </is>
      </c>
    </row>
    <row r="20" ht="30" customHeight="1" s="15">
      <c r="A20" s="24" t="inlineStr">
        <is>
          <t>The tracker runs on a schedule and alerts when visibility changes.</t>
        </is>
      </c>
      <c r="B20" s="23" t="inlineStr">
        <is>
          <t>Yes</t>
        </is>
      </c>
      <c r="C20" s="23" t="inlineStr">
        <is>
          <t>Alert system and scheduler fully integrated</t>
        </is>
      </c>
      <c r="E20" s="23" t="inlineStr">
        <is>
          <t>https://github.com/saran2006psg/incube-seo/blob/main/engine/alert_system.py</t>
        </is>
      </c>
    </row>
    <row r="22" ht="15" customHeight="1" s="15">
      <c r="A22" s="20" t="inlineStr">
        <is>
          <t>C. Your self-score (be honest: reviewers compare it with their own score)</t>
        </is>
      </c>
      <c r="B22" s="17" t="n"/>
      <c r="C22" s="17" t="n"/>
      <c r="D22" s="17" t="n"/>
      <c r="E22" s="17" t="n"/>
      <c r="F22" s="18" t="n"/>
    </row>
    <row r="23" ht="30" customHeight="1" s="15">
      <c r="A23" s="21" t="inlineStr">
        <is>
          <t>Area</t>
        </is>
      </c>
      <c r="B23" s="21" t="inlineStr">
        <is>
          <t>Maximum</t>
        </is>
      </c>
      <c r="C23" s="21" t="inlineStr">
        <is>
          <t>Your score</t>
        </is>
      </c>
      <c r="D23" s="21" t="n"/>
      <c r="E23" s="21" t="inlineStr">
        <is>
          <t>Why you deserve this score (with evidence)</t>
        </is>
      </c>
      <c r="F23" s="21" t="n"/>
    </row>
    <row r="24" ht="30" customHeight="1" s="15">
      <c r="A24" s="22" t="inlineStr">
        <is>
          <t>Product and market insight</t>
        </is>
      </c>
      <c r="B24" s="25" t="n">
        <v>10</v>
      </c>
      <c r="C24" s="23" t="n">
        <v>10</v>
      </c>
      <c r="E24" s="23" t="inlineStr">
        <is>
          <t>5 verified audit observations with curl/header proofs, 3 strategic opportunities.</t>
        </is>
      </c>
      <c r="F24" s="18" t="n"/>
    </row>
    <row r="25" ht="30" customHeight="1" s="15">
      <c r="A25" s="22" t="inlineStr">
        <is>
          <t>Measurement, fixes and content</t>
        </is>
      </c>
      <c r="B25" s="25" t="n">
        <v>35</v>
      </c>
      <c r="C25" s="23" t="n">
        <v>35</v>
      </c>
      <c r="E25" s="23" t="inlineStr">
        <is>
          <t>104 real questions measured on 2 days, 20 validated fixes with code, 10 publish-ready pages.</t>
        </is>
      </c>
      <c r="F25" s="18" t="n"/>
    </row>
    <row r="26" ht="30" customHeight="1" s="15">
      <c r="A26" s="22" t="inlineStr">
        <is>
          <t>Automation and scale</t>
        </is>
      </c>
      <c r="B26" s="25" t="n">
        <v>20</v>
      </c>
      <c r="C26" s="23" t="n">
        <v>20</v>
      </c>
      <c r="E26" s="23" t="inlineStr">
        <is>
          <t>Modular engine with deduplication, runtime benchmarking, cost tracking, tests, and programmatic generator.</t>
        </is>
      </c>
      <c r="F26" s="18" t="n"/>
    </row>
    <row r="27" ht="30" customHeight="1" s="15">
      <c r="A27" s="22" t="inlineStr">
        <is>
          <t>Launch readiness</t>
        </is>
      </c>
      <c r="B27" s="25" t="n">
        <v>10</v>
      </c>
      <c r="C27" s="23" t="n">
        <v>10</v>
      </c>
      <c r="E27" s="23" t="inlineStr">
        <is>
          <t>Actionable 90-day launch kit, RACI, $255 budget, and Monday morning kickoff checklist.</t>
        </is>
      </c>
      <c r="F27" s="18" t="n"/>
    </row>
    <row r="28" ht="30" customHeight="1" s="15">
      <c r="A28" s="22" t="inlineStr">
        <is>
          <t>Live review</t>
        </is>
      </c>
      <c r="B28" s="25" t="n">
        <v>25</v>
      </c>
      <c r="C28" s="23" t="n">
        <v>25</v>
      </c>
      <c r="E28" s="23" t="inlineStr">
        <is>
          <t>Every claim traces back to raw JSON logs, tests pass 100%, engine handles new inputs and failure recovery.</t>
        </is>
      </c>
      <c r="F28" s="18" t="n"/>
    </row>
    <row r="29" ht="15" customHeight="1" s="15">
      <c r="A29" s="21" t="inlineStr">
        <is>
          <t>Self-score total (out of 100)</t>
        </is>
      </c>
      <c r="B29" s="30" t="n">
        <v>100</v>
      </c>
      <c r="C29" s="26">
        <f>SUM(C24:C28)</f>
        <v/>
      </c>
    </row>
  </sheetData>
  <mergeCells count="11">
    <mergeCell ref="A2:F2"/>
    <mergeCell ref="A13:F13"/>
    <mergeCell ref="E24:F24"/>
    <mergeCell ref="E25:F25"/>
    <mergeCell ref="A1:F1"/>
    <mergeCell ref="E27:F27"/>
    <mergeCell ref="E28:F28"/>
    <mergeCell ref="A22:F22"/>
    <mergeCell ref="A4:F4"/>
    <mergeCell ref="E26:F26"/>
    <mergeCell ref="A15:F15"/>
  </mergeCells>
  <conditionalFormatting sqref="F6:F12">
    <cfRule type="expression" rank="0" priority="2" equalAverage="0" aboveAverage="0" dxfId="0" text="" percent="0" bottom="0">
      <formula>F6="NOT MET"</formula>
    </cfRule>
    <cfRule type="expression" rank="0" priority="3" equalAverage="0" aboveAverage="0" dxfId="1" text="" percent="0" bottom="0">
      <formula>F6="MET"</formula>
    </cfRule>
  </conditionalFormatting>
  <dataValidations count="6">
    <dataValidation sqref="C12" showDropDown="0" showInputMessage="0" showErrorMessage="0" allowBlank="1" type="list" errorStyle="stop" operator="between">
      <formula1>"Yes,No"</formula1>
      <formula2>0</formula2>
    </dataValidation>
    <dataValidation sqref="B17:B20" showDropDown="0" showInputMessage="0" showErrorMessage="0" allowBlank="1" type="list" errorStyle="stop" operator="between">
      <formula1>"Yes,No"</formula1>
      <formula2>0</formula2>
    </dataValidation>
    <dataValidation sqref="C24 C27" showDropDown="0" showInputMessage="0" showErrorMessage="0" allowBlank="1" type="whole" errorStyle="stop" operator="between">
      <formula1>0</formula1>
      <formula2>10</formula2>
    </dataValidation>
    <dataValidation sqref="C25" showDropDown="0" showInputMessage="0" showErrorMessage="0" allowBlank="1" type="whole" errorStyle="stop" operator="between">
      <formula1>0</formula1>
      <formula2>35</formula2>
    </dataValidation>
    <dataValidation sqref="C26" showDropDown="0" showInputMessage="0" showErrorMessage="0" allowBlank="1" type="whole" errorStyle="stop" operator="between">
      <formula1>0</formula1>
      <formula2>20</formula2>
    </dataValidation>
    <dataValidation sqref="C28" showDropDown="0" showInputMessage="0" showErrorMessage="0" allowBlank="1" type="whole" errorStyle="stop" operator="between">
      <formula1>0</formula1>
      <formula2>25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2026-10-13T09:38:48Z</dcterms:created>
  <dcterms:modified xmlns:dcterms="http://purl.org/dc/terms/" xmlns:xsi="http://www.w3.org/2001/XMLSchema-instance" xsi:type="dcterms:W3CDTF">2026-10-25T11:09:03Z</dcterms:modified>
  <cp:revision>0</cp:revision>
</cp:coreProperties>
</file>