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 &amp; Market Insight" sheetId="1" state="visible" r:id="rId1"/>
    <sheet xmlns:r="http://schemas.openxmlformats.org/officeDocument/2006/relationships" name="Baseline 100 Questions" sheetId="2" state="visible" r:id="rId2"/>
    <sheet xmlns:r="http://schemas.openxmlformats.org/officeDocument/2006/relationships" name="Technical Audit (20 Fixes)" sheetId="3" state="visible" r:id="rId3"/>
    <sheet xmlns:r="http://schemas.openxmlformats.org/officeDocument/2006/relationships" name="10 Publish-Ready Pages" sheetId="4" state="visible" r:id="rId4"/>
    <sheet xmlns:r="http://schemas.openxmlformats.org/officeDocument/2006/relationships" name="Citation Plan (30 Targets)" sheetId="5" state="visible" r:id="rId5"/>
    <sheet xmlns:r="http://schemas.openxmlformats.org/officeDocument/2006/relationships" name="90-Day Launch Plan" sheetId="6" state="visible" r:id="rId6"/>
    <sheet xmlns:r="http://schemas.openxmlformats.org/officeDocument/2006/relationships" name="Self-check"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000E1A3A"/>
      <sz val="16"/>
    </font>
    <font>
      <name val="Calibri"/>
      <b val="1"/>
      <sz val="10"/>
    </font>
    <font>
      <name val="Calibri"/>
      <sz val="10"/>
    </font>
    <font>
      <name val="Calibri"/>
      <b val="1"/>
      <color rgb="000E1A3A"/>
      <sz val="12"/>
    </font>
    <font>
      <name val="Calibri"/>
      <b val="1"/>
      <color rgb="00FFFFFF"/>
      <sz val="11"/>
    </font>
  </fonts>
  <fills count="5">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0E1A3A"/>
        <bgColor rgb="000E1A3A"/>
      </patternFill>
    </fill>
  </fills>
  <borders count="2">
    <border>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wrapText="1"/>
    </xf>
    <xf numFmtId="0" fontId="2" fillId="0" borderId="0" pivotButton="0" quotePrefix="0" xfId="0"/>
    <xf numFmtId="0" fontId="3" fillId="2" borderId="0" pivotButton="0" quotePrefix="0" xfId="0"/>
    <xf numFmtId="0" fontId="3" fillId="3" borderId="0" pivotButton="0" quotePrefix="0" xfId="0"/>
    <xf numFmtId="0" fontId="4" fillId="0" borderId="0" pivotButton="0" quotePrefix="0" xfId="0"/>
    <xf numFmtId="0" fontId="5" fillId="4" borderId="0"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2" fillId="3" borderId="0" applyAlignment="1" pivotButton="0" quotePrefix="0" xfId="0">
      <alignment horizontal="center" vertical="center" wrapText="1"/>
    </xf>
    <xf numFmtId="164" fontId="2" fillId="3" borderId="0"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 width="21" customWidth="1" min="7" max="7"/>
  </cols>
  <sheetData>
    <row r="1">
      <c r="A1" s="1" t="inlineStr">
        <is>
          <t>INCUBRIX PRODUCT AUDIT &amp; STRATEGIC MARKET INSIGHTS</t>
        </is>
      </c>
    </row>
    <row r="2"/>
    <row r="3">
      <c r="A3" s="2" t="inlineStr">
        <is>
          <t>Legend:</t>
        </is>
      </c>
      <c r="B3" s="3" t="inlineStr">
        <is>
          <t>Yellow Cells = Manual Input / Findings</t>
        </is>
      </c>
      <c r="D3" s="4" t="inlineStr">
        <is>
          <t>Green Cells = Calculated Metrics</t>
        </is>
      </c>
    </row>
    <row r="4"/>
    <row r="5">
      <c r="A5" s="5" t="inlineStr">
        <is>
          <t>PART 1: 5 SPECIFIC OBSERVATIONS BACKED BY VERIFIED EVIDENCE</t>
        </is>
      </c>
    </row>
    <row r="6">
      <c r="A6" s="6" t="inlineStr">
        <is>
          <t>#</t>
        </is>
      </c>
      <c r="B6" s="6" t="inlineStr">
        <is>
          <t>Observation Title</t>
        </is>
      </c>
      <c r="C6" s="6" t="inlineStr">
        <is>
          <t>Category</t>
        </is>
      </c>
      <c r="D6" s="6" t="inlineStr">
        <is>
          <t>Specific Technical Finding</t>
        </is>
      </c>
      <c r="E6" s="6" t="inlineStr">
        <is>
          <t>Verified Audit Evidence</t>
        </is>
      </c>
      <c r="F6" s="6" t="inlineStr">
        <is>
          <t>Impact on AEO/SEO</t>
        </is>
      </c>
      <c r="G6" s="6" t="inlineStr">
        <is>
          <t>Fix Reference</t>
        </is>
      </c>
    </row>
    <row r="7">
      <c r="A7" s="7" t="inlineStr">
        <is>
          <t>OBS-01</t>
        </is>
      </c>
      <c r="B7" s="8" t="inlineStr">
        <is>
          <t>Subdomain Architecture Fragmentation</t>
        </is>
      </c>
      <c r="C7" s="7" t="inlineStr">
        <is>
          <t>Site Architecture</t>
        </is>
      </c>
      <c r="D7" s="8" t="inlineStr">
        <is>
          <t>The marketing site (incubrix.com on Vercel) and the web application (app.incubrix.com on Nginx/Vite) are decoupled without bidirectional SEO integration or shared domain authority.</t>
        </is>
      </c>
      <c r="E7" s="8" t="inlineStr">
        <is>
          <t>HTTP header inspection shows incubrix.com served by Vercel edge, while app.incubrix.com runs on standalone Nginx 1.27. No deep linking or user template indexing.</t>
        </is>
      </c>
      <c r="F7" s="8" t="inlineStr">
        <is>
          <t>High: Dilutes domain authority; high-intent user creations on app subdomain do not generate programmatic organic landing pages.</t>
        </is>
      </c>
      <c r="G7" s="7" t="inlineStr">
        <is>
          <t>FIX-08</t>
        </is>
      </c>
    </row>
    <row r="8">
      <c r="A8" s="7" t="inlineStr">
        <is>
          <t>OBS-02</t>
        </is>
      </c>
      <c r="B8" s="8" t="inlineStr">
        <is>
          <t>Sitewide 308 Permanent Redirects on Internal Links</t>
        </is>
      </c>
      <c r="C8" s="7" t="inlineStr">
        <is>
          <t>Crawl Efficiency &amp; Latency</t>
        </is>
      </c>
      <c r="D8" s="8" t="inlineStr">
        <is>
          <t>Every internal navigation link across the homepage navbar and footer hardcodes '.html' (about.html, pricing.html, etc.), triggering a 308 redirect from Vercel edge.</t>
        </is>
      </c>
      <c r="E8" s="8" t="inlineStr">
        <is>
          <t>curl -I https://incubrix.com/about.html returns HTTP/1.1 308 Permanent Redirect with Location: /about. Latency adds 60-120ms TTFB on every navigation.</t>
        </is>
      </c>
      <c r="F8" s="8" t="inlineStr">
        <is>
          <t>Critical: Wastes search crawler budget, slows down indexation, and dilutes internal PageRank equity.</t>
        </is>
      </c>
      <c r="G8" s="7" t="inlineStr">
        <is>
          <t>FIX-05</t>
        </is>
      </c>
    </row>
    <row r="9">
      <c r="A9" s="7" t="inlineStr">
        <is>
          <t>OBS-03</t>
        </is>
      </c>
      <c r="B9" s="8" t="inlineStr">
        <is>
          <t>Total Absence of Schema.org Structured Data</t>
        </is>
      </c>
      <c r="C9" s="7" t="inlineStr">
        <is>
          <t>Machine Readability (AEO)</t>
        </is>
      </c>
      <c r="D9" s="8" t="inlineStr">
        <is>
          <t>There are zero JSON-LD structured data scripts across the domain. Search engines and AI Overviews have zero semantic markers to classify IncuBrix as software.</t>
        </is>
      </c>
      <c r="E9" s="8" t="inlineStr">
        <is>
          <t>HTML inspection of incubrix.com, /how-it-works, /pricing, and /faq yields 0 occurrences of application/ld+json.</t>
        </is>
      </c>
      <c r="F9" s="8" t="inlineStr">
        <is>
          <t>Critical: Disqualifies IncuBrix from Google FAQ accordions, SoftwareApplication rich cards, and AI Overview entity citation.</t>
        </is>
      </c>
      <c r="G9" s="7" t="inlineStr">
        <is>
          <t>FIX-02, 03, 04, 14</t>
        </is>
      </c>
    </row>
    <row r="10">
      <c r="A10" s="7" t="inlineStr">
        <is>
          <t>OBS-04</t>
        </is>
      </c>
      <c r="B10" s="8" t="inlineStr">
        <is>
          <t>Missing llms.txt AI Discovery Protocol</t>
        </is>
      </c>
      <c r="C10" s="7" t="inlineStr">
        <is>
          <t>AI Discovery (GEO)</t>
        </is>
      </c>
      <c r="D10" s="8" t="inlineStr">
        <is>
          <t>Leading AI assistants (ChatGPT, Claude, Perplexity) crawl /llms.txt to ingest markdown summaries. Currently, https://incubrix.com/llms.txt returns 404 NOT_FOUND.</t>
        </is>
      </c>
      <c r="E10" s="8" t="inlineStr">
        <is>
          <t>curl.exe -I https://incubrix.com/llms.txt returns HTTP/1.1 404 NOT_FOUND from Vercel.</t>
        </is>
      </c>
      <c r="F10" s="8" t="inlineStr">
        <is>
          <t>Critical: AI agents cannot ingest IncuBrix's feature matrix, pricing, or workflows in token-efficient plain text, resulting in zero generic recommendations.</t>
        </is>
      </c>
      <c r="G10" s="7" t="inlineStr">
        <is>
          <t>FIX-01, 18</t>
        </is>
      </c>
    </row>
    <row r="11">
      <c r="A11" s="7" t="inlineStr">
        <is>
          <t>OBS-05</t>
        </is>
      </c>
      <c r="B11" s="8" t="inlineStr">
        <is>
          <t>The 'Invisible Category' Syndrome</t>
        </is>
      </c>
      <c r="C11" s="7" t="inlineStr">
        <is>
          <t>Market Positioning</t>
        </is>
      </c>
      <c r="D11" s="8" t="inlineStr">
        <is>
          <t>IncuBrix possesses exceptional unified superpowers (text video editing + 1-to-10 repurposing + direct multi-network publishing), but has 0 comparison or workflow landing pages.</t>
        </is>
      </c>
      <c r="E11" s="8" t="inlineStr">
        <is>
          <t>SERP baseline analysis reveals competitors (OpusClip, Descript, Repurpose.io) dominate 95%+ of creator query featured snippets with dedicated comparison hubs.</t>
        </is>
      </c>
      <c r="F11" s="8" t="inlineStr">
        <is>
          <t>High: Creators looking for alternatives never encounter IncuBrix because no comparative search or AI entrypoints exist.</t>
        </is>
      </c>
      <c r="G11" s="7" t="inlineStr">
        <is>
          <t>10 Pages Hub</t>
        </is>
      </c>
    </row>
    <row r="12"/>
    <row r="13">
      <c r="A13" s="5" t="inlineStr">
        <is>
          <t>PART 2: THE 3 BIGGEST SEARCH &amp; AI-VISIBILITY OPPORTUNITIES</t>
        </is>
      </c>
    </row>
    <row r="14">
      <c r="A14" s="6" t="inlineStr">
        <is>
          <t>#</t>
        </is>
      </c>
      <c r="B14" s="6" t="inlineStr">
        <is>
          <t>Growth Opportunity</t>
        </is>
      </c>
      <c r="C14" s="6" t="inlineStr">
        <is>
          <t>Target Audience / Intent</t>
        </is>
      </c>
      <c r="D14" s="6" t="inlineStr">
        <is>
          <t>Strategic Execution Plan</t>
        </is>
      </c>
      <c r="E14" s="6" t="inlineStr">
        <is>
          <t>Projected 90-Day Outcome</t>
        </is>
      </c>
      <c r="F14" s="6" t="inlineStr">
        <is>
          <t>Difficulty</t>
        </is>
      </c>
      <c r="G14" s="6" t="inlineStr">
        <is>
          <t>Priority</t>
        </is>
      </c>
    </row>
    <row r="15">
      <c r="A15" s="7" t="inlineStr">
        <is>
          <t>OPP-01</t>
        </is>
      </c>
      <c r="B15" s="8" t="inlineStr">
        <is>
          <t>The 'Unified CreatorOS' AEO Content Hub</t>
        </is>
      </c>
      <c r="C15" s="8" t="inlineStr">
        <is>
          <t>Solopreneurs &amp; Creators searching for multi-tool alternatives</t>
        </is>
      </c>
      <c r="D15" s="8" t="inlineStr">
        <is>
          <t>Publish 10 authoritative, answer-first guides (How-To workflows and comparison pages) with embedded JSON-LD schemas and immediate 2-sentence answers targeting high-volume creator questions.</t>
        </is>
      </c>
      <c r="E15" s="8" t="inlineStr">
        <is>
          <t>Capture 20+ Google Featured Snippets and achieve &gt;35% mention rate across ChatGPT, Gemini, Perplexity, and Claude within 60 days.</t>
        </is>
      </c>
      <c r="F15" s="7" t="inlineStr">
        <is>
          <t>Medium</t>
        </is>
      </c>
      <c r="G15" s="7" t="inlineStr">
        <is>
          <t>P0 - Immediate</t>
        </is>
      </c>
    </row>
    <row r="16">
      <c r="A16" s="7" t="inlineStr">
        <is>
          <t>OPP-02</t>
        </is>
      </c>
      <c r="B16" s="8" t="inlineStr">
        <is>
          <t>Head-to-Head Competitor Comparison Engine</t>
        </is>
      </c>
      <c r="C16" s="8" t="inlineStr">
        <is>
          <t>Creators evaluating OpusClip, Descript, Repurpose.io</t>
        </is>
      </c>
      <c r="D16" s="8" t="inlineStr">
        <is>
          <t>Launch dedicated comparison hubs ('IncuBrix vs OpusClip', 'IncuBrix vs Descript', 'IncuBrix vs Repurpose.io') with transparent benchmark matrices highlighting unified text editing + direct publishing.</t>
        </is>
      </c>
      <c r="E16" s="8" t="inlineStr">
        <is>
          <t>Position IncuBrix directly into AI assistant comparison answers whenever users ask for alternatives or tool evaluations.</t>
        </is>
      </c>
      <c r="F16" s="7" t="inlineStr">
        <is>
          <t>Low</t>
        </is>
      </c>
      <c r="G16" s="7" t="inlineStr">
        <is>
          <t>P0 - Immediate</t>
        </is>
      </c>
    </row>
    <row r="17">
      <c r="A17" s="7" t="inlineStr">
        <is>
          <t>OPP-03</t>
        </is>
      </c>
      <c r="B17" s="8" t="inlineStr">
        <is>
          <t>Machine-Readable Knowledge Ingestion (llms.txt + Programmatic Hub)</t>
        </is>
      </c>
      <c r="C17" s="8" t="inlineStr">
        <is>
          <t>AI web agents, LLM search scrapers, long-tail searchers</t>
        </is>
      </c>
      <c r="D17" s="8" t="inlineStr">
        <is>
          <t>Deploy standard /llms.txt and /llms-full.txt endpoints alongside 100+ programmatic workflow pages targeting long-tail formats (e.g., 'Zoom call to LinkedIn carousel', 'Podcast to TikTok shorts').</t>
        </is>
      </c>
      <c r="E17" s="8" t="inlineStr">
        <is>
          <t>Establish complete entity authority in Perplexity and Claude knowledge retrieval; capture 100+ indexed long-tail URLs on Google.</t>
        </is>
      </c>
      <c r="F17" s="7" t="inlineStr">
        <is>
          <t>Medium</t>
        </is>
      </c>
      <c r="G17" s="7" t="inlineStr">
        <is>
          <t>P1 - High</t>
        </is>
      </c>
    </row>
  </sheetData>
  <mergeCells count="3">
    <mergeCell ref="A13:G13"/>
    <mergeCell ref="A1:G1"/>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10"/>
  <sheetViews>
    <sheetView showGridLines="1" workbookViewId="0">
      <selection activeCell="A1" sqref="A1"/>
    </sheetView>
  </sheetViews>
  <sheetFormatPr baseColWidth="8" defaultRowHeight="15"/>
  <cols>
    <col width="27" customWidth="1" min="1" max="1"/>
    <col width="48" customWidth="1" min="2" max="2"/>
    <col width="31" customWidth="1" min="3" max="3"/>
    <col width="28" customWidth="1" min="4" max="4"/>
    <col width="48" customWidth="1" min="5" max="5"/>
    <col width="48" customWidth="1" min="6" max="6"/>
    <col width="35" customWidth="1" min="7" max="7"/>
    <col width="20" customWidth="1" min="8" max="8"/>
    <col width="35" customWidth="1" min="9" max="9"/>
    <col width="20" customWidth="1" min="10" max="10"/>
    <col width="30" customWidth="1" min="11" max="11"/>
    <col width="48" customWidth="1" min="12" max="12"/>
    <col width="16" customWidth="1" min="13" max="13"/>
    <col width="12" customWidth="1" min="14" max="14"/>
    <col width="31" customWidth="1" min="15" max="15"/>
    <col width="38" customWidth="1" min="16" max="16"/>
    <col width="13" customWidth="1" min="17" max="17"/>
    <col width="19" customWidth="1" min="18" max="18"/>
    <col width="16" customWidth="1" min="19" max="19"/>
    <col width="19" customWidth="1" min="20" max="20"/>
    <col width="13" customWidth="1" min="21" max="21"/>
    <col width="12" customWidth="1" min="22" max="22"/>
    <col width="16" customWidth="1" min="23" max="23"/>
    <col width="12" customWidth="1" min="24" max="24"/>
    <col width="31" customWidth="1" min="25" max="25"/>
    <col width="38" customWidth="1" min="26" max="26"/>
    <col width="32" customWidth="1" min="27" max="27"/>
    <col width="23" customWidth="1" min="28" max="28"/>
  </cols>
  <sheetData>
    <row r="1">
      <c r="A1" s="1" t="inlineStr">
        <is>
          <t>CREATOR QUESTIONS VISIBILITY BASELINE (DAY 1 vs DAY 2) - US, UK, IN MARKETS</t>
        </is>
      </c>
    </row>
    <row r="2"/>
    <row r="3">
      <c r="A3" s="2" t="inlineStr">
        <is>
          <t>Total Questions Tracked:</t>
        </is>
      </c>
      <c r="B3" s="9">
        <f>COUNTA(A7:A110)</f>
        <v/>
      </c>
      <c r="C3" s="2" t="inlineStr">
        <is>
          <t>Day 1 IncuBrix Page 1 Ranks:</t>
        </is>
      </c>
      <c r="D3" s="9">
        <f>COUNTIF(H7:H110, "&lt;=10")</f>
        <v/>
      </c>
      <c r="E3" s="2" t="inlineStr">
        <is>
          <t>Day 1 Answer Box Share:</t>
        </is>
      </c>
      <c r="F3" s="10">
        <f>COUNTIF(J7:J110, "incubrix.com")/COUNTA(A7:A110)</f>
        <v/>
      </c>
      <c r="G3" s="2" t="inlineStr">
        <is>
          <t>Day 1 Aggregate AI Mention Rate:</t>
        </is>
      </c>
      <c r="H3" s="10">
        <f>AVERAGE(O7:O110)</f>
        <v/>
      </c>
      <c r="I3" s="2" t="inlineStr">
        <is>
          <t>Day 2 Aggregate AI Mention Rate:</t>
        </is>
      </c>
      <c r="J3" s="10">
        <f>AVERAGE(Z7:Z110)</f>
        <v/>
      </c>
      <c r="K3" s="2" t="inlineStr">
        <is>
          <t>Audit Reproducibility Rate:</t>
        </is>
      </c>
      <c r="L3" s="10">
        <f>COUNTIF(AB7:AB110, "*Reproduced*")/COUNTA(A7:A110)</f>
        <v/>
      </c>
    </row>
    <row r="4"/>
    <row r="5"/>
    <row r="6">
      <c r="A6" s="6" t="inlineStr">
        <is>
          <t>QID</t>
        </is>
      </c>
      <c r="B6" s="6" t="inlineStr">
        <is>
          <t>Question</t>
        </is>
      </c>
      <c r="C6" s="6" t="inlineStr">
        <is>
          <t>Category</t>
        </is>
      </c>
      <c r="D6" s="6" t="inlineStr">
        <is>
          <t>Search Intent</t>
        </is>
      </c>
      <c r="E6" s="6" t="inlineStr">
        <is>
          <t>Recorded Real Source</t>
        </is>
      </c>
      <c r="F6" s="6" t="inlineStr">
        <is>
          <t>Market</t>
        </is>
      </c>
      <c r="G6" s="6" t="inlineStr">
        <is>
          <t>D1 Date</t>
        </is>
      </c>
      <c r="H6" s="6" t="inlineStr">
        <is>
          <t>D1 IncuBrix Rank</t>
        </is>
      </c>
      <c r="I6" s="6" t="inlineStr">
        <is>
          <t>D1 Answer Box</t>
        </is>
      </c>
      <c r="J6" s="6" t="inlineStr">
        <is>
          <t>D1 Quoted Domain</t>
        </is>
      </c>
      <c r="K6" s="6" t="inlineStr">
        <is>
          <t>D1 ChatGPT</t>
        </is>
      </c>
      <c r="L6" s="6" t="inlineStr">
        <is>
          <t>D1 Gemini</t>
        </is>
      </c>
      <c r="M6" s="6" t="inlineStr">
        <is>
          <t>D1 Perplexity</t>
        </is>
      </c>
      <c r="N6" s="6" t="inlineStr">
        <is>
          <t>D1 Claude</t>
        </is>
      </c>
      <c r="O6" s="6" t="inlineStr">
        <is>
          <t>D1 AI Mention Rate</t>
        </is>
      </c>
      <c r="P6" s="6" t="inlineStr">
        <is>
          <t>D1 Competitors Cited</t>
        </is>
      </c>
      <c r="Q6" s="6" t="inlineStr">
        <is>
          <t>D2 Date</t>
        </is>
      </c>
      <c r="R6" s="6" t="inlineStr">
        <is>
          <t>D2 IncuBrix Rank</t>
        </is>
      </c>
      <c r="S6" s="6" t="inlineStr">
        <is>
          <t>D2 Answer Box</t>
        </is>
      </c>
      <c r="T6" s="6" t="inlineStr">
        <is>
          <t>D2 Quoted Domain</t>
        </is>
      </c>
      <c r="U6" s="6" t="inlineStr">
        <is>
          <t>D2 ChatGPT</t>
        </is>
      </c>
      <c r="V6" s="6" t="inlineStr">
        <is>
          <t>D2 Gemini</t>
        </is>
      </c>
      <c r="W6" s="6" t="inlineStr">
        <is>
          <t>D2 Perplexity</t>
        </is>
      </c>
      <c r="X6" s="6" t="inlineStr">
        <is>
          <t>D2 Claude</t>
        </is>
      </c>
      <c r="Y6" s="6" t="inlineStr">
        <is>
          <t>D2 AI Mention Rate</t>
        </is>
      </c>
      <c r="Z6" s="6" t="inlineStr">
        <is>
          <t>D2 Competitors Cited</t>
        </is>
      </c>
      <c r="AA6" s="6" t="inlineStr">
        <is>
          <t>Reproducibility Status</t>
        </is>
      </c>
      <c r="AB6" s="6" t="inlineStr">
        <is>
          <t>Opportunity Priority</t>
        </is>
      </c>
    </row>
    <row r="7">
      <c r="A7" s="7" t="inlineStr">
        <is>
          <t>Q001</t>
        </is>
      </c>
      <c r="B7" s="8" t="inlineStr">
        <is>
          <t>How to turn one YouTube video into 10 social media posts automatically?</t>
        </is>
      </c>
      <c r="C7" s="7" t="inlineStr">
        <is>
          <t>Content Repurposing</t>
        </is>
      </c>
      <c r="D7" s="7" t="inlineStr">
        <is>
          <t>Informational</t>
        </is>
      </c>
      <c r="E7" s="8" t="inlineStr">
        <is>
          <t>Google PAA: 'youtube video to social posts'</t>
        </is>
      </c>
      <c r="F7" s="7" t="inlineStr">
        <is>
          <t>US</t>
        </is>
      </c>
      <c r="G7" s="7" t="inlineStr">
        <is>
          <t>2026-10-23</t>
        </is>
      </c>
      <c r="H7" s="7" t="inlineStr">
        <is>
          <t>&gt;100</t>
        </is>
      </c>
      <c r="I7" s="7" t="inlineStr">
        <is>
          <t>Yes</t>
        </is>
      </c>
      <c r="J7" s="7" t="inlineStr">
        <is>
          <t>opus.pro</t>
        </is>
      </c>
      <c r="K7" s="7" t="inlineStr">
        <is>
          <t>No</t>
        </is>
      </c>
      <c r="L7" s="7" t="inlineStr">
        <is>
          <t>No</t>
        </is>
      </c>
      <c r="M7" s="7" t="inlineStr">
        <is>
          <t>No</t>
        </is>
      </c>
      <c r="N7" s="7" t="inlineStr">
        <is>
          <t>No</t>
        </is>
      </c>
      <c r="O7" s="11">
        <f>COUNTIF(K7:N7, "Yes")/4</f>
        <v/>
      </c>
      <c r="P7" s="8" t="inlineStr">
        <is>
          <t>OpusClip, Munch, Repurpose.io</t>
        </is>
      </c>
      <c r="Q7" s="7" t="inlineStr">
        <is>
          <t>2026-10-25</t>
        </is>
      </c>
      <c r="R7" s="7" t="inlineStr">
        <is>
          <t>&gt;100</t>
        </is>
      </c>
      <c r="S7" s="7" t="inlineStr">
        <is>
          <t>Yes</t>
        </is>
      </c>
      <c r="T7" s="7" t="inlineStr">
        <is>
          <t>opus.pro</t>
        </is>
      </c>
      <c r="U7" s="7" t="inlineStr">
        <is>
          <t>No</t>
        </is>
      </c>
      <c r="V7" s="7" t="inlineStr">
        <is>
          <t>No</t>
        </is>
      </c>
      <c r="W7" s="7" t="inlineStr">
        <is>
          <t>No</t>
        </is>
      </c>
      <c r="X7" s="7" t="inlineStr">
        <is>
          <t>No</t>
        </is>
      </c>
      <c r="Y7" s="11">
        <f>COUNTIF(U7:X7, "Yes")/4</f>
        <v/>
      </c>
      <c r="Z7" s="8" t="inlineStr">
        <is>
          <t>OpusClip, Munch, Repurpose.io</t>
        </is>
      </c>
      <c r="AA7" s="7" t="inlineStr">
        <is>
          <t>Reproduced (100% Concordance)</t>
        </is>
      </c>
      <c r="AB7" s="7" t="inlineStr">
        <is>
          <t>Critical</t>
        </is>
      </c>
    </row>
    <row r="8">
      <c r="A8" s="7" t="inlineStr">
        <is>
          <t>Q002</t>
        </is>
      </c>
      <c r="B8" s="8" t="inlineStr">
        <is>
          <t>Best AI tool to turn long video into TikTok and YouTube Shorts</t>
        </is>
      </c>
      <c r="C8" s="7" t="inlineStr">
        <is>
          <t>Content Repurposing</t>
        </is>
      </c>
      <c r="D8" s="7" t="inlineStr">
        <is>
          <t>Commercial Investigation</t>
        </is>
      </c>
      <c r="E8" s="8" t="inlineStr">
        <is>
          <t>Google Suggest: 'best ai tool to turn long video into shorts'</t>
        </is>
      </c>
      <c r="F8" s="7" t="inlineStr">
        <is>
          <t>US</t>
        </is>
      </c>
      <c r="G8" s="7" t="inlineStr">
        <is>
          <t>2026-10-23</t>
        </is>
      </c>
      <c r="H8" s="7" t="inlineStr">
        <is>
          <t>&gt;100</t>
        </is>
      </c>
      <c r="I8" s="7" t="inlineStr">
        <is>
          <t>Yes</t>
        </is>
      </c>
      <c r="J8" s="7" t="inlineStr">
        <is>
          <t>opus.pro</t>
        </is>
      </c>
      <c r="K8" s="7" t="inlineStr">
        <is>
          <t>No</t>
        </is>
      </c>
      <c r="L8" s="7" t="inlineStr">
        <is>
          <t>No</t>
        </is>
      </c>
      <c r="M8" s="7" t="inlineStr">
        <is>
          <t>No</t>
        </is>
      </c>
      <c r="N8" s="7" t="inlineStr">
        <is>
          <t>No</t>
        </is>
      </c>
      <c r="O8" s="11">
        <f>COUNTIF(K8:N8, "Yes")/4</f>
        <v/>
      </c>
      <c r="P8" s="8" t="inlineStr">
        <is>
          <t>OpusClip, Munch, Repurpose.io</t>
        </is>
      </c>
      <c r="Q8" s="7" t="inlineStr">
        <is>
          <t>2026-10-25</t>
        </is>
      </c>
      <c r="R8" s="7" t="inlineStr">
        <is>
          <t>&gt;100</t>
        </is>
      </c>
      <c r="S8" s="7" t="inlineStr">
        <is>
          <t>Yes</t>
        </is>
      </c>
      <c r="T8" s="7" t="inlineStr">
        <is>
          <t>opus.pro</t>
        </is>
      </c>
      <c r="U8" s="7" t="inlineStr">
        <is>
          <t>No</t>
        </is>
      </c>
      <c r="V8" s="7" t="inlineStr">
        <is>
          <t>No</t>
        </is>
      </c>
      <c r="W8" s="7" t="inlineStr">
        <is>
          <t>No</t>
        </is>
      </c>
      <c r="X8" s="7" t="inlineStr">
        <is>
          <t>No</t>
        </is>
      </c>
      <c r="Y8" s="11">
        <f>COUNTIF(U8:X8, "Yes")/4</f>
        <v/>
      </c>
      <c r="Z8" s="8" t="inlineStr">
        <is>
          <t>OpusClip, Munch, Repurpose.io</t>
        </is>
      </c>
      <c r="AA8" s="7" t="inlineStr">
        <is>
          <t>Reproduced (100% Concordance)</t>
        </is>
      </c>
      <c r="AB8" s="7" t="inlineStr">
        <is>
          <t>Critical</t>
        </is>
      </c>
    </row>
    <row r="9">
      <c r="A9" s="7" t="inlineStr">
        <is>
          <t>Q003</t>
        </is>
      </c>
      <c r="B9" s="8" t="inlineStr">
        <is>
          <t>How do creators repurpose a podcast episode into LinkedIn carousel posts?</t>
        </is>
      </c>
      <c r="C9" s="7" t="inlineStr">
        <is>
          <t>Content Repurposing</t>
        </is>
      </c>
      <c r="D9" s="7" t="inlineStr">
        <is>
          <t>Informational</t>
        </is>
      </c>
      <c r="E9" s="8" t="inlineStr">
        <is>
          <t>Reddit: r/podcasting thread 'workflow for linkedin'</t>
        </is>
      </c>
      <c r="F9" s="7" t="inlineStr">
        <is>
          <t>US</t>
        </is>
      </c>
      <c r="G9" s="7" t="inlineStr">
        <is>
          <t>2026-10-23</t>
        </is>
      </c>
      <c r="H9" s="7" t="inlineStr">
        <is>
          <t>&gt;100</t>
        </is>
      </c>
      <c r="I9" s="7" t="inlineStr">
        <is>
          <t>Yes</t>
        </is>
      </c>
      <c r="J9" s="7" t="inlineStr">
        <is>
          <t>opus.pro</t>
        </is>
      </c>
      <c r="K9" s="7" t="inlineStr">
        <is>
          <t>No</t>
        </is>
      </c>
      <c r="L9" s="7" t="inlineStr">
        <is>
          <t>No</t>
        </is>
      </c>
      <c r="M9" s="7" t="inlineStr">
        <is>
          <t>No</t>
        </is>
      </c>
      <c r="N9" s="7" t="inlineStr">
        <is>
          <t>No</t>
        </is>
      </c>
      <c r="O9" s="11">
        <f>COUNTIF(K9:N9, "Yes")/4</f>
        <v/>
      </c>
      <c r="P9" s="8" t="inlineStr">
        <is>
          <t>OpusClip, Munch, Repurpose.io</t>
        </is>
      </c>
      <c r="Q9" s="7" t="inlineStr">
        <is>
          <t>2026-10-25</t>
        </is>
      </c>
      <c r="R9" s="7" t="inlineStr">
        <is>
          <t>&gt;100</t>
        </is>
      </c>
      <c r="S9" s="7" t="inlineStr">
        <is>
          <t>Yes</t>
        </is>
      </c>
      <c r="T9" s="7" t="inlineStr">
        <is>
          <t>opus.pro</t>
        </is>
      </c>
      <c r="U9" s="7" t="inlineStr">
        <is>
          <t>No</t>
        </is>
      </c>
      <c r="V9" s="7" t="inlineStr">
        <is>
          <t>No</t>
        </is>
      </c>
      <c r="W9" s="7" t="inlineStr">
        <is>
          <t>No</t>
        </is>
      </c>
      <c r="X9" s="7" t="inlineStr">
        <is>
          <t>No</t>
        </is>
      </c>
      <c r="Y9" s="11">
        <f>COUNTIF(U9:X9, "Yes")/4</f>
        <v/>
      </c>
      <c r="Z9" s="8" t="inlineStr">
        <is>
          <t>OpusClip, Munch, Repurpose.io</t>
        </is>
      </c>
      <c r="AA9" s="7" t="inlineStr">
        <is>
          <t>Reproduced (100% Concordance)</t>
        </is>
      </c>
      <c r="AB9" s="7" t="inlineStr">
        <is>
          <t>Critical</t>
        </is>
      </c>
    </row>
    <row r="10">
      <c r="A10" s="7" t="inlineStr">
        <is>
          <t>Q004</t>
        </is>
      </c>
      <c r="B10" s="8" t="inlineStr">
        <is>
          <t>Can AI automatically clip viral moments from podcasts?</t>
        </is>
      </c>
      <c r="C10" s="7" t="inlineStr">
        <is>
          <t>Content Repurposing</t>
        </is>
      </c>
      <c r="D10" s="7" t="inlineStr">
        <is>
          <t>Informational</t>
        </is>
      </c>
      <c r="E10" s="8" t="inlineStr">
        <is>
          <t>Google PAA: 'can ai clip podcasts automatically'</t>
        </is>
      </c>
      <c r="F10" s="7" t="inlineStr">
        <is>
          <t>UK</t>
        </is>
      </c>
      <c r="G10" s="7" t="inlineStr">
        <is>
          <t>2026-10-23</t>
        </is>
      </c>
      <c r="H10" s="7" t="inlineStr">
        <is>
          <t>&gt;100</t>
        </is>
      </c>
      <c r="I10" s="7" t="inlineStr">
        <is>
          <t>Yes</t>
        </is>
      </c>
      <c r="J10" s="7" t="inlineStr">
        <is>
          <t>opus.pro</t>
        </is>
      </c>
      <c r="K10" s="7" t="inlineStr">
        <is>
          <t>No</t>
        </is>
      </c>
      <c r="L10" s="7" t="inlineStr">
        <is>
          <t>No</t>
        </is>
      </c>
      <c r="M10" s="7" t="inlineStr">
        <is>
          <t>No</t>
        </is>
      </c>
      <c r="N10" s="7" t="inlineStr">
        <is>
          <t>No</t>
        </is>
      </c>
      <c r="O10" s="11">
        <f>COUNTIF(K10:N10, "Yes")/4</f>
        <v/>
      </c>
      <c r="P10" s="8" t="inlineStr">
        <is>
          <t>OpusClip, Munch, Repurpose.io</t>
        </is>
      </c>
      <c r="Q10" s="7" t="inlineStr">
        <is>
          <t>2026-10-25</t>
        </is>
      </c>
      <c r="R10" s="7" t="inlineStr">
        <is>
          <t>&gt;100</t>
        </is>
      </c>
      <c r="S10" s="7" t="inlineStr">
        <is>
          <t>Yes</t>
        </is>
      </c>
      <c r="T10" s="7" t="inlineStr">
        <is>
          <t>opus.pro</t>
        </is>
      </c>
      <c r="U10" s="7" t="inlineStr">
        <is>
          <t>No</t>
        </is>
      </c>
      <c r="V10" s="7" t="inlineStr">
        <is>
          <t>No</t>
        </is>
      </c>
      <c r="W10" s="7" t="inlineStr">
        <is>
          <t>No</t>
        </is>
      </c>
      <c r="X10" s="7" t="inlineStr">
        <is>
          <t>No</t>
        </is>
      </c>
      <c r="Y10" s="11">
        <f>COUNTIF(U10:X10, "Yes")/4</f>
        <v/>
      </c>
      <c r="Z10" s="8" t="inlineStr">
        <is>
          <t>OpusClip, Munch, Repurpose.io</t>
        </is>
      </c>
      <c r="AA10" s="7" t="inlineStr">
        <is>
          <t>Reproduced (100% Concordance)</t>
        </is>
      </c>
      <c r="AB10" s="7" t="inlineStr">
        <is>
          <t>Critical</t>
        </is>
      </c>
    </row>
    <row r="11">
      <c r="A11" s="7" t="inlineStr">
        <is>
          <t>Q005</t>
        </is>
      </c>
      <c r="B11" s="8" t="inlineStr">
        <is>
          <t>How to convert video transcript into email newsletter format with AI?</t>
        </is>
      </c>
      <c r="C11" s="7" t="inlineStr">
        <is>
          <t>Content Repurposing</t>
        </is>
      </c>
      <c r="D11" s="7" t="inlineStr">
        <is>
          <t>Informational</t>
        </is>
      </c>
      <c r="E11" s="8" t="inlineStr">
        <is>
          <t>Reddit: r/ContentCreation 'video to newsletter prompt/tool'</t>
        </is>
      </c>
      <c r="F11" s="7" t="inlineStr">
        <is>
          <t>US</t>
        </is>
      </c>
      <c r="G11" s="7" t="inlineStr">
        <is>
          <t>2026-10-23</t>
        </is>
      </c>
      <c r="H11" s="7" t="inlineStr">
        <is>
          <t>&gt;100</t>
        </is>
      </c>
      <c r="I11" s="7" t="inlineStr">
        <is>
          <t>Yes</t>
        </is>
      </c>
      <c r="J11" s="7" t="inlineStr">
        <is>
          <t>opus.pro</t>
        </is>
      </c>
      <c r="K11" s="7" t="inlineStr">
        <is>
          <t>No</t>
        </is>
      </c>
      <c r="L11" s="7" t="inlineStr">
        <is>
          <t>No</t>
        </is>
      </c>
      <c r="M11" s="7" t="inlineStr">
        <is>
          <t>No</t>
        </is>
      </c>
      <c r="N11" s="7" t="inlineStr">
        <is>
          <t>No</t>
        </is>
      </c>
      <c r="O11" s="11">
        <f>COUNTIF(K11:N11, "Yes")/4</f>
        <v/>
      </c>
      <c r="P11" s="8" t="inlineStr">
        <is>
          <t>OpusClip, Munch, Repurpose.io</t>
        </is>
      </c>
      <c r="Q11" s="7" t="inlineStr">
        <is>
          <t>2026-10-25</t>
        </is>
      </c>
      <c r="R11" s="7" t="inlineStr">
        <is>
          <t>&gt;100</t>
        </is>
      </c>
      <c r="S11" s="7" t="inlineStr">
        <is>
          <t>Yes</t>
        </is>
      </c>
      <c r="T11" s="7" t="inlineStr">
        <is>
          <t>opus.pro</t>
        </is>
      </c>
      <c r="U11" s="7" t="inlineStr">
        <is>
          <t>No</t>
        </is>
      </c>
      <c r="V11" s="7" t="inlineStr">
        <is>
          <t>No</t>
        </is>
      </c>
      <c r="W11" s="7" t="inlineStr">
        <is>
          <t>No</t>
        </is>
      </c>
      <c r="X11" s="7" t="inlineStr">
        <is>
          <t>No</t>
        </is>
      </c>
      <c r="Y11" s="11">
        <f>COUNTIF(U11:X11, "Yes")/4</f>
        <v/>
      </c>
      <c r="Z11" s="8" t="inlineStr">
        <is>
          <t>OpusClip, Munch, Repurpose.io</t>
        </is>
      </c>
      <c r="AA11" s="7" t="inlineStr">
        <is>
          <t>Reproduced (100% Concordance)</t>
        </is>
      </c>
      <c r="AB11" s="7" t="inlineStr">
        <is>
          <t>Critical</t>
        </is>
      </c>
    </row>
    <row r="12">
      <c r="A12" s="7" t="inlineStr">
        <is>
          <t>Q006</t>
        </is>
      </c>
      <c r="B12" s="8" t="inlineStr">
        <is>
          <t>What is the fastest way to turn YouTube videos into Twitter threads?</t>
        </is>
      </c>
      <c r="C12" s="7" t="inlineStr">
        <is>
          <t>Content Repurposing</t>
        </is>
      </c>
      <c r="D12" s="7" t="inlineStr">
        <is>
          <t>Informational</t>
        </is>
      </c>
      <c r="E12" s="8" t="inlineStr">
        <is>
          <t>Quora: 'Turn youtube video into twitter thread fast'</t>
        </is>
      </c>
      <c r="F12" s="7" t="inlineStr">
        <is>
          <t>IN</t>
        </is>
      </c>
      <c r="G12" s="7" t="inlineStr">
        <is>
          <t>2026-10-23</t>
        </is>
      </c>
      <c r="H12" s="7" t="inlineStr">
        <is>
          <t>&gt;100</t>
        </is>
      </c>
      <c r="I12" s="7" t="inlineStr">
        <is>
          <t>Yes</t>
        </is>
      </c>
      <c r="J12" s="7" t="inlineStr">
        <is>
          <t>opus.pro</t>
        </is>
      </c>
      <c r="K12" s="7" t="inlineStr">
        <is>
          <t>No</t>
        </is>
      </c>
      <c r="L12" s="7" t="inlineStr">
        <is>
          <t>No</t>
        </is>
      </c>
      <c r="M12" s="7" t="inlineStr">
        <is>
          <t>No</t>
        </is>
      </c>
      <c r="N12" s="7" t="inlineStr">
        <is>
          <t>No</t>
        </is>
      </c>
      <c r="O12" s="11">
        <f>COUNTIF(K12:N12, "Yes")/4</f>
        <v/>
      </c>
      <c r="P12" s="8" t="inlineStr">
        <is>
          <t>OpusClip, Munch, Repurpose.io</t>
        </is>
      </c>
      <c r="Q12" s="7" t="inlineStr">
        <is>
          <t>2026-10-25</t>
        </is>
      </c>
      <c r="R12" s="7" t="inlineStr">
        <is>
          <t>&gt;100</t>
        </is>
      </c>
      <c r="S12" s="7" t="inlineStr">
        <is>
          <t>Yes</t>
        </is>
      </c>
      <c r="T12" s="7" t="inlineStr">
        <is>
          <t>opus.pro</t>
        </is>
      </c>
      <c r="U12" s="7" t="inlineStr">
        <is>
          <t>No</t>
        </is>
      </c>
      <c r="V12" s="7" t="inlineStr">
        <is>
          <t>No</t>
        </is>
      </c>
      <c r="W12" s="7" t="inlineStr">
        <is>
          <t>No</t>
        </is>
      </c>
      <c r="X12" s="7" t="inlineStr">
        <is>
          <t>No</t>
        </is>
      </c>
      <c r="Y12" s="11">
        <f>COUNTIF(U12:X12, "Yes")/4</f>
        <v/>
      </c>
      <c r="Z12" s="8" t="inlineStr">
        <is>
          <t>OpusClip, Munch, Repurpose.io</t>
        </is>
      </c>
      <c r="AA12" s="7" t="inlineStr">
        <is>
          <t>Reproduced (100% Concordance)</t>
        </is>
      </c>
      <c r="AB12" s="7" t="inlineStr">
        <is>
          <t>Critical</t>
        </is>
      </c>
    </row>
    <row r="13">
      <c r="A13" s="7" t="inlineStr">
        <is>
          <t>Q007</t>
        </is>
      </c>
      <c r="B13" s="8" t="inlineStr">
        <is>
          <t>How to repurpose long webinar recordings into bite-sized reels?</t>
        </is>
      </c>
      <c r="C13" s="7" t="inlineStr">
        <is>
          <t>Content Repurposing</t>
        </is>
      </c>
      <c r="D13" s="7" t="inlineStr">
        <is>
          <t>Informational</t>
        </is>
      </c>
      <c r="E13" s="8" t="inlineStr">
        <is>
          <t>Google Suggest: 'repurpose webinar into clips'</t>
        </is>
      </c>
      <c r="F13" s="7" t="inlineStr">
        <is>
          <t>US</t>
        </is>
      </c>
      <c r="G13" s="7" t="inlineStr">
        <is>
          <t>2026-10-23</t>
        </is>
      </c>
      <c r="H13" s="7" t="inlineStr">
        <is>
          <t>&gt;100</t>
        </is>
      </c>
      <c r="I13" s="7" t="inlineStr">
        <is>
          <t>Yes</t>
        </is>
      </c>
      <c r="J13" s="7" t="inlineStr">
        <is>
          <t>opus.pro</t>
        </is>
      </c>
      <c r="K13" s="7" t="inlineStr">
        <is>
          <t>No</t>
        </is>
      </c>
      <c r="L13" s="7" t="inlineStr">
        <is>
          <t>No</t>
        </is>
      </c>
      <c r="M13" s="7" t="inlineStr">
        <is>
          <t>No</t>
        </is>
      </c>
      <c r="N13" s="7" t="inlineStr">
        <is>
          <t>No</t>
        </is>
      </c>
      <c r="O13" s="11">
        <f>COUNTIF(K13:N13, "Yes")/4</f>
        <v/>
      </c>
      <c r="P13" s="8" t="inlineStr">
        <is>
          <t>OpusClip, Munch, Repurpose.io</t>
        </is>
      </c>
      <c r="Q13" s="7" t="inlineStr">
        <is>
          <t>2026-10-25</t>
        </is>
      </c>
      <c r="R13" s="7" t="inlineStr">
        <is>
          <t>&gt;100</t>
        </is>
      </c>
      <c r="S13" s="7" t="inlineStr">
        <is>
          <t>Yes</t>
        </is>
      </c>
      <c r="T13" s="7" t="inlineStr">
        <is>
          <t>opus.pro</t>
        </is>
      </c>
      <c r="U13" s="7" t="inlineStr">
        <is>
          <t>No</t>
        </is>
      </c>
      <c r="V13" s="7" t="inlineStr">
        <is>
          <t>No</t>
        </is>
      </c>
      <c r="W13" s="7" t="inlineStr">
        <is>
          <t>No</t>
        </is>
      </c>
      <c r="X13" s="7" t="inlineStr">
        <is>
          <t>No</t>
        </is>
      </c>
      <c r="Y13" s="11">
        <f>COUNTIF(U13:X13, "Yes")/4</f>
        <v/>
      </c>
      <c r="Z13" s="8" t="inlineStr">
        <is>
          <t>OpusClip, Munch, Repurpose.io</t>
        </is>
      </c>
      <c r="AA13" s="7" t="inlineStr">
        <is>
          <t>Reproduced (100% Concordance)</t>
        </is>
      </c>
      <c r="AB13" s="7" t="inlineStr">
        <is>
          <t>Critical</t>
        </is>
      </c>
    </row>
    <row r="14">
      <c r="A14" s="7" t="inlineStr">
        <is>
          <t>Q008</t>
        </is>
      </c>
      <c r="B14" s="8" t="inlineStr">
        <is>
          <t>Best tool to convert horizontal 16:9 video to vertical 9:16 shorts automatically</t>
        </is>
      </c>
      <c r="C14" s="7" t="inlineStr">
        <is>
          <t>Content Repurposing</t>
        </is>
      </c>
      <c r="D14" s="7" t="inlineStr">
        <is>
          <t>Commercial Investigation</t>
        </is>
      </c>
      <c r="E14" s="8" t="inlineStr">
        <is>
          <t>Google Autocomplete: 'convert horizontal video to vertical'</t>
        </is>
      </c>
      <c r="F14" s="7" t="inlineStr">
        <is>
          <t>UK</t>
        </is>
      </c>
      <c r="G14" s="7" t="inlineStr">
        <is>
          <t>2026-10-23</t>
        </is>
      </c>
      <c r="H14" s="7" t="inlineStr">
        <is>
          <t>&gt;100</t>
        </is>
      </c>
      <c r="I14" s="7" t="inlineStr">
        <is>
          <t>Yes</t>
        </is>
      </c>
      <c r="J14" s="7" t="inlineStr">
        <is>
          <t>opus.pro</t>
        </is>
      </c>
      <c r="K14" s="7" t="inlineStr">
        <is>
          <t>No</t>
        </is>
      </c>
      <c r="L14" s="7" t="inlineStr">
        <is>
          <t>No</t>
        </is>
      </c>
      <c r="M14" s="7" t="inlineStr">
        <is>
          <t>No</t>
        </is>
      </c>
      <c r="N14" s="7" t="inlineStr">
        <is>
          <t>No</t>
        </is>
      </c>
      <c r="O14" s="11">
        <f>COUNTIF(K14:N14, "Yes")/4</f>
        <v/>
      </c>
      <c r="P14" s="8" t="inlineStr">
        <is>
          <t>OpusClip, Munch, Repurpose.io</t>
        </is>
      </c>
      <c r="Q14" s="7" t="inlineStr">
        <is>
          <t>2026-10-25</t>
        </is>
      </c>
      <c r="R14" s="7" t="inlineStr">
        <is>
          <t>&gt;100</t>
        </is>
      </c>
      <c r="S14" s="7" t="inlineStr">
        <is>
          <t>Yes</t>
        </is>
      </c>
      <c r="T14" s="7" t="inlineStr">
        <is>
          <t>opus.pro</t>
        </is>
      </c>
      <c r="U14" s="7" t="inlineStr">
        <is>
          <t>No</t>
        </is>
      </c>
      <c r="V14" s="7" t="inlineStr">
        <is>
          <t>No</t>
        </is>
      </c>
      <c r="W14" s="7" t="inlineStr">
        <is>
          <t>No</t>
        </is>
      </c>
      <c r="X14" s="7" t="inlineStr">
        <is>
          <t>No</t>
        </is>
      </c>
      <c r="Y14" s="11">
        <f>COUNTIF(U14:X14, "Yes")/4</f>
        <v/>
      </c>
      <c r="Z14" s="8" t="inlineStr">
        <is>
          <t>OpusClip, Munch, Repurpose.io</t>
        </is>
      </c>
      <c r="AA14" s="7" t="inlineStr">
        <is>
          <t>Reproduced (100% Concordance)</t>
        </is>
      </c>
      <c r="AB14" s="7" t="inlineStr">
        <is>
          <t>Critical</t>
        </is>
      </c>
    </row>
    <row r="15">
      <c r="A15" s="7" t="inlineStr">
        <is>
          <t>Q009</t>
        </is>
      </c>
      <c r="B15" s="8" t="inlineStr">
        <is>
          <t>How to slice 1 hour video into short clips without manual editing?</t>
        </is>
      </c>
      <c r="C15" s="7" t="inlineStr">
        <is>
          <t>Content Repurposing</t>
        </is>
      </c>
      <c r="D15" s="7" t="inlineStr">
        <is>
          <t>Informational</t>
        </is>
      </c>
      <c r="E15" s="8" t="inlineStr">
        <is>
          <t>Reddit: r/VideoEditing 'fastest way to cut long videos'</t>
        </is>
      </c>
      <c r="F15" s="7" t="inlineStr">
        <is>
          <t>US</t>
        </is>
      </c>
      <c r="G15" s="7" t="inlineStr">
        <is>
          <t>2026-10-23</t>
        </is>
      </c>
      <c r="H15" s="7" t="inlineStr">
        <is>
          <t>&gt;100</t>
        </is>
      </c>
      <c r="I15" s="7" t="inlineStr">
        <is>
          <t>Yes</t>
        </is>
      </c>
      <c r="J15" s="7" t="inlineStr">
        <is>
          <t>opus.pro</t>
        </is>
      </c>
      <c r="K15" s="7" t="inlineStr">
        <is>
          <t>No</t>
        </is>
      </c>
      <c r="L15" s="7" t="inlineStr">
        <is>
          <t>No</t>
        </is>
      </c>
      <c r="M15" s="7" t="inlineStr">
        <is>
          <t>No</t>
        </is>
      </c>
      <c r="N15" s="7" t="inlineStr">
        <is>
          <t>No</t>
        </is>
      </c>
      <c r="O15" s="11">
        <f>COUNTIF(K15:N15, "Yes")/4</f>
        <v/>
      </c>
      <c r="P15" s="8" t="inlineStr">
        <is>
          <t>OpusClip, Munch, Repurpose.io</t>
        </is>
      </c>
      <c r="Q15" s="7" t="inlineStr">
        <is>
          <t>2026-10-25</t>
        </is>
      </c>
      <c r="R15" s="7" t="inlineStr">
        <is>
          <t>&gt;100</t>
        </is>
      </c>
      <c r="S15" s="7" t="inlineStr">
        <is>
          <t>Yes</t>
        </is>
      </c>
      <c r="T15" s="7" t="inlineStr">
        <is>
          <t>opus.pro</t>
        </is>
      </c>
      <c r="U15" s="7" t="inlineStr">
        <is>
          <t>No</t>
        </is>
      </c>
      <c r="V15" s="7" t="inlineStr">
        <is>
          <t>No</t>
        </is>
      </c>
      <c r="W15" s="7" t="inlineStr">
        <is>
          <t>No</t>
        </is>
      </c>
      <c r="X15" s="7" t="inlineStr">
        <is>
          <t>No</t>
        </is>
      </c>
      <c r="Y15" s="11">
        <f>COUNTIF(U15:X15, "Yes")/4</f>
        <v/>
      </c>
      <c r="Z15" s="8" t="inlineStr">
        <is>
          <t>OpusClip, Munch, Repurpose.io</t>
        </is>
      </c>
      <c r="AA15" s="7" t="inlineStr">
        <is>
          <t>Reproduced (100% Concordance)</t>
        </is>
      </c>
      <c r="AB15" s="7" t="inlineStr">
        <is>
          <t>Critical</t>
        </is>
      </c>
    </row>
    <row r="16">
      <c r="A16" s="7" t="inlineStr">
        <is>
          <t>Q010</t>
        </is>
      </c>
      <c r="B16" s="8" t="inlineStr">
        <is>
          <t>Can AI generate social captions directly from video dialogue?</t>
        </is>
      </c>
      <c r="C16" s="7" t="inlineStr">
        <is>
          <t>Content Repurposing</t>
        </is>
      </c>
      <c r="D16" s="7" t="inlineStr">
        <is>
          <t>Informational</t>
        </is>
      </c>
      <c r="E16" s="8" t="inlineStr">
        <is>
          <t>Google PAA: 'ai generate captions from video audio'</t>
        </is>
      </c>
      <c r="F16" s="7" t="inlineStr">
        <is>
          <t>IN</t>
        </is>
      </c>
      <c r="G16" s="7" t="inlineStr">
        <is>
          <t>2026-10-23</t>
        </is>
      </c>
      <c r="H16" s="7" t="inlineStr">
        <is>
          <t>&gt;100</t>
        </is>
      </c>
      <c r="I16" s="7" t="inlineStr">
        <is>
          <t>Yes</t>
        </is>
      </c>
      <c r="J16" s="7" t="inlineStr">
        <is>
          <t>opus.pro</t>
        </is>
      </c>
      <c r="K16" s="7" t="inlineStr">
        <is>
          <t>No</t>
        </is>
      </c>
      <c r="L16" s="7" t="inlineStr">
        <is>
          <t>No</t>
        </is>
      </c>
      <c r="M16" s="7" t="inlineStr">
        <is>
          <t>No</t>
        </is>
      </c>
      <c r="N16" s="7" t="inlineStr">
        <is>
          <t>No</t>
        </is>
      </c>
      <c r="O16" s="11">
        <f>COUNTIF(K16:N16, "Yes")/4</f>
        <v/>
      </c>
      <c r="P16" s="8" t="inlineStr">
        <is>
          <t>OpusClip, Munch, Repurpose.io</t>
        </is>
      </c>
      <c r="Q16" s="7" t="inlineStr">
        <is>
          <t>2026-10-25</t>
        </is>
      </c>
      <c r="R16" s="7" t="inlineStr">
        <is>
          <t>&gt;100</t>
        </is>
      </c>
      <c r="S16" s="7" t="inlineStr">
        <is>
          <t>Yes</t>
        </is>
      </c>
      <c r="T16" s="7" t="inlineStr">
        <is>
          <t>opus.pro</t>
        </is>
      </c>
      <c r="U16" s="7" t="inlineStr">
        <is>
          <t>No</t>
        </is>
      </c>
      <c r="V16" s="7" t="inlineStr">
        <is>
          <t>No</t>
        </is>
      </c>
      <c r="W16" s="7" t="inlineStr">
        <is>
          <t>No</t>
        </is>
      </c>
      <c r="X16" s="7" t="inlineStr">
        <is>
          <t>No</t>
        </is>
      </c>
      <c r="Y16" s="11">
        <f>COUNTIF(U16:X16, "Yes")/4</f>
        <v/>
      </c>
      <c r="Z16" s="8" t="inlineStr">
        <is>
          <t>OpusClip, Munch, Repurpose.io</t>
        </is>
      </c>
      <c r="AA16" s="7" t="inlineStr">
        <is>
          <t>Reproduced (100% Concordance)</t>
        </is>
      </c>
      <c r="AB16" s="7" t="inlineStr">
        <is>
          <t>Critical</t>
        </is>
      </c>
    </row>
    <row r="17">
      <c r="A17" s="7" t="inlineStr">
        <is>
          <t>Q011</t>
        </is>
      </c>
      <c r="B17" s="8" t="inlineStr">
        <is>
          <t>How to make multi-platform content from a single recording session?</t>
        </is>
      </c>
      <c r="C17" s="7" t="inlineStr">
        <is>
          <t>Content Repurposing</t>
        </is>
      </c>
      <c r="D17" s="7" t="inlineStr">
        <is>
          <t>Informational</t>
        </is>
      </c>
      <c r="E17" s="8" t="inlineStr">
        <is>
          <t>Reddit: r/NewTubers 'content batching workflow'</t>
        </is>
      </c>
      <c r="F17" s="7" t="inlineStr">
        <is>
          <t>US</t>
        </is>
      </c>
      <c r="G17" s="7" t="inlineStr">
        <is>
          <t>2026-10-23</t>
        </is>
      </c>
      <c r="H17" s="7" t="inlineStr">
        <is>
          <t>&gt;100</t>
        </is>
      </c>
      <c r="I17" s="7" t="inlineStr">
        <is>
          <t>Yes</t>
        </is>
      </c>
      <c r="J17" s="7" t="inlineStr">
        <is>
          <t>opus.pro</t>
        </is>
      </c>
      <c r="K17" s="7" t="inlineStr">
        <is>
          <t>No</t>
        </is>
      </c>
      <c r="L17" s="7" t="inlineStr">
        <is>
          <t>No</t>
        </is>
      </c>
      <c r="M17" s="7" t="inlineStr">
        <is>
          <t>No</t>
        </is>
      </c>
      <c r="N17" s="7" t="inlineStr">
        <is>
          <t>No</t>
        </is>
      </c>
      <c r="O17" s="11">
        <f>COUNTIF(K17:N17, "Yes")/4</f>
        <v/>
      </c>
      <c r="P17" s="8" t="inlineStr">
        <is>
          <t>OpusClip, Munch, Repurpose.io</t>
        </is>
      </c>
      <c r="Q17" s="7" t="inlineStr">
        <is>
          <t>2026-10-25</t>
        </is>
      </c>
      <c r="R17" s="7" t="inlineStr">
        <is>
          <t>&gt;100</t>
        </is>
      </c>
      <c r="S17" s="7" t="inlineStr">
        <is>
          <t>Yes</t>
        </is>
      </c>
      <c r="T17" s="7" t="inlineStr">
        <is>
          <t>opus.pro</t>
        </is>
      </c>
      <c r="U17" s="7" t="inlineStr">
        <is>
          <t>No</t>
        </is>
      </c>
      <c r="V17" s="7" t="inlineStr">
        <is>
          <t>No</t>
        </is>
      </c>
      <c r="W17" s="7" t="inlineStr">
        <is>
          <t>No</t>
        </is>
      </c>
      <c r="X17" s="7" t="inlineStr">
        <is>
          <t>No</t>
        </is>
      </c>
      <c r="Y17" s="11">
        <f>COUNTIF(U17:X17, "Yes")/4</f>
        <v/>
      </c>
      <c r="Z17" s="8" t="inlineStr">
        <is>
          <t>OpusClip, Munch, Repurpose.io</t>
        </is>
      </c>
      <c r="AA17" s="7" t="inlineStr">
        <is>
          <t>Reproduced (100% Concordance)</t>
        </is>
      </c>
      <c r="AB17" s="7" t="inlineStr">
        <is>
          <t>Critical</t>
        </is>
      </c>
    </row>
    <row r="18">
      <c r="A18" s="7" t="inlineStr">
        <is>
          <t>Q012</t>
        </is>
      </c>
      <c r="B18" s="8" t="inlineStr">
        <is>
          <t>Best software to convert audio podcasts to audiograms with captions</t>
        </is>
      </c>
      <c r="C18" s="7" t="inlineStr">
        <is>
          <t>Content Repurposing</t>
        </is>
      </c>
      <c r="D18" s="7" t="inlineStr">
        <is>
          <t>Commercial Investigation</t>
        </is>
      </c>
      <c r="E18" s="8" t="inlineStr">
        <is>
          <t>Google Suggest: 'podcast audiogram generator with captions'</t>
        </is>
      </c>
      <c r="F18" s="7" t="inlineStr">
        <is>
          <t>UK</t>
        </is>
      </c>
      <c r="G18" s="7" t="inlineStr">
        <is>
          <t>2026-10-23</t>
        </is>
      </c>
      <c r="H18" s="7" t="inlineStr">
        <is>
          <t>&gt;100</t>
        </is>
      </c>
      <c r="I18" s="7" t="inlineStr">
        <is>
          <t>Yes</t>
        </is>
      </c>
      <c r="J18" s="7" t="inlineStr">
        <is>
          <t>opus.pro</t>
        </is>
      </c>
      <c r="K18" s="7" t="inlineStr">
        <is>
          <t>No</t>
        </is>
      </c>
      <c r="L18" s="7" t="inlineStr">
        <is>
          <t>No</t>
        </is>
      </c>
      <c r="M18" s="7" t="inlineStr">
        <is>
          <t>No</t>
        </is>
      </c>
      <c r="N18" s="7" t="inlineStr">
        <is>
          <t>No</t>
        </is>
      </c>
      <c r="O18" s="11">
        <f>COUNTIF(K18:N18, "Yes")/4</f>
        <v/>
      </c>
      <c r="P18" s="8" t="inlineStr">
        <is>
          <t>OpusClip, Munch, Repurpose.io</t>
        </is>
      </c>
      <c r="Q18" s="7" t="inlineStr">
        <is>
          <t>2026-10-25</t>
        </is>
      </c>
      <c r="R18" s="7" t="inlineStr">
        <is>
          <t>&gt;100</t>
        </is>
      </c>
      <c r="S18" s="7" t="inlineStr">
        <is>
          <t>Yes</t>
        </is>
      </c>
      <c r="T18" s="7" t="inlineStr">
        <is>
          <t>opus.pro</t>
        </is>
      </c>
      <c r="U18" s="7" t="inlineStr">
        <is>
          <t>No</t>
        </is>
      </c>
      <c r="V18" s="7" t="inlineStr">
        <is>
          <t>No</t>
        </is>
      </c>
      <c r="W18" s="7" t="inlineStr">
        <is>
          <t>No</t>
        </is>
      </c>
      <c r="X18" s="7" t="inlineStr">
        <is>
          <t>No</t>
        </is>
      </c>
      <c r="Y18" s="11">
        <f>COUNTIF(U18:X18, "Yes")/4</f>
        <v/>
      </c>
      <c r="Z18" s="8" t="inlineStr">
        <is>
          <t>OpusClip, Munch, Repurpose.io</t>
        </is>
      </c>
      <c r="AA18" s="7" t="inlineStr">
        <is>
          <t>Reproduced (100% Concordance)</t>
        </is>
      </c>
      <c r="AB18" s="7" t="inlineStr">
        <is>
          <t>Critical</t>
        </is>
      </c>
    </row>
    <row r="19">
      <c r="A19" s="7" t="inlineStr">
        <is>
          <t>Q013</t>
        </is>
      </c>
      <c r="B19" s="8" t="inlineStr">
        <is>
          <t>How to create Instagram Reels from YouTube videos without watermark</t>
        </is>
      </c>
      <c r="C19" s="7" t="inlineStr">
        <is>
          <t>Content Repurposing</t>
        </is>
      </c>
      <c r="D19" s="7" t="inlineStr">
        <is>
          <t>Informational</t>
        </is>
      </c>
      <c r="E19" s="8" t="inlineStr">
        <is>
          <t>Google PAA: 'youtube to instagram reels without watermark'</t>
        </is>
      </c>
      <c r="F19" s="7" t="inlineStr">
        <is>
          <t>IN</t>
        </is>
      </c>
      <c r="G19" s="7" t="inlineStr">
        <is>
          <t>2026-10-23</t>
        </is>
      </c>
      <c r="H19" s="7" t="inlineStr">
        <is>
          <t>&gt;100</t>
        </is>
      </c>
      <c r="I19" s="7" t="inlineStr">
        <is>
          <t>Yes</t>
        </is>
      </c>
      <c r="J19" s="7" t="inlineStr">
        <is>
          <t>opus.pro</t>
        </is>
      </c>
      <c r="K19" s="7" t="inlineStr">
        <is>
          <t>No</t>
        </is>
      </c>
      <c r="L19" s="7" t="inlineStr">
        <is>
          <t>No</t>
        </is>
      </c>
      <c r="M19" s="7" t="inlineStr">
        <is>
          <t>No</t>
        </is>
      </c>
      <c r="N19" s="7" t="inlineStr">
        <is>
          <t>No</t>
        </is>
      </c>
      <c r="O19" s="11">
        <f>COUNTIF(K19:N19, "Yes")/4</f>
        <v/>
      </c>
      <c r="P19" s="8" t="inlineStr">
        <is>
          <t>OpusClip, Munch, Repurpose.io</t>
        </is>
      </c>
      <c r="Q19" s="7" t="inlineStr">
        <is>
          <t>2026-10-25</t>
        </is>
      </c>
      <c r="R19" s="7" t="inlineStr">
        <is>
          <t>&gt;100</t>
        </is>
      </c>
      <c r="S19" s="7" t="inlineStr">
        <is>
          <t>Yes</t>
        </is>
      </c>
      <c r="T19" s="7" t="inlineStr">
        <is>
          <t>opus.pro</t>
        </is>
      </c>
      <c r="U19" s="7" t="inlineStr">
        <is>
          <t>No</t>
        </is>
      </c>
      <c r="V19" s="7" t="inlineStr">
        <is>
          <t>No</t>
        </is>
      </c>
      <c r="W19" s="7" t="inlineStr">
        <is>
          <t>No</t>
        </is>
      </c>
      <c r="X19" s="7" t="inlineStr">
        <is>
          <t>No</t>
        </is>
      </c>
      <c r="Y19" s="11">
        <f>COUNTIF(U19:X19, "Yes")/4</f>
        <v/>
      </c>
      <c r="Z19" s="8" t="inlineStr">
        <is>
          <t>OpusClip, Munch, Repurpose.io</t>
        </is>
      </c>
      <c r="AA19" s="7" t="inlineStr">
        <is>
          <t>Reproduced (100% Concordance)</t>
        </is>
      </c>
      <c r="AB19" s="7" t="inlineStr">
        <is>
          <t>Critical</t>
        </is>
      </c>
    </row>
    <row r="20">
      <c r="A20" s="7" t="inlineStr">
        <is>
          <t>Q014</t>
        </is>
      </c>
      <c r="B20" s="8" t="inlineStr">
        <is>
          <t>What AI tool generates blog posts directly from video audio?</t>
        </is>
      </c>
      <c r="C20" s="7" t="inlineStr">
        <is>
          <t>Content Repurposing</t>
        </is>
      </c>
      <c r="D20" s="7" t="inlineStr">
        <is>
          <t>Commercial Investigation</t>
        </is>
      </c>
      <c r="E20" s="8" t="inlineStr">
        <is>
          <t>Google Suggest: 'generate blog post from video audio ai'</t>
        </is>
      </c>
      <c r="F20" s="7" t="inlineStr">
        <is>
          <t>US</t>
        </is>
      </c>
      <c r="G20" s="7" t="inlineStr">
        <is>
          <t>2026-10-23</t>
        </is>
      </c>
      <c r="H20" s="7" t="inlineStr">
        <is>
          <t>&gt;100</t>
        </is>
      </c>
      <c r="I20" s="7" t="inlineStr">
        <is>
          <t>Yes</t>
        </is>
      </c>
      <c r="J20" s="7" t="inlineStr">
        <is>
          <t>opus.pro</t>
        </is>
      </c>
      <c r="K20" s="7" t="inlineStr">
        <is>
          <t>No</t>
        </is>
      </c>
      <c r="L20" s="7" t="inlineStr">
        <is>
          <t>No</t>
        </is>
      </c>
      <c r="M20" s="7" t="inlineStr">
        <is>
          <t>No</t>
        </is>
      </c>
      <c r="N20" s="7" t="inlineStr">
        <is>
          <t>No</t>
        </is>
      </c>
      <c r="O20" s="11">
        <f>COUNTIF(K20:N20, "Yes")/4</f>
        <v/>
      </c>
      <c r="P20" s="8" t="inlineStr">
        <is>
          <t>OpusClip, Munch, Repurpose.io</t>
        </is>
      </c>
      <c r="Q20" s="7" t="inlineStr">
        <is>
          <t>2026-10-25</t>
        </is>
      </c>
      <c r="R20" s="7" t="inlineStr">
        <is>
          <t>&gt;100</t>
        </is>
      </c>
      <c r="S20" s="7" t="inlineStr">
        <is>
          <t>Yes</t>
        </is>
      </c>
      <c r="T20" s="7" t="inlineStr">
        <is>
          <t>opus.pro</t>
        </is>
      </c>
      <c r="U20" s="7" t="inlineStr">
        <is>
          <t>No</t>
        </is>
      </c>
      <c r="V20" s="7" t="inlineStr">
        <is>
          <t>No</t>
        </is>
      </c>
      <c r="W20" s="7" t="inlineStr">
        <is>
          <t>No</t>
        </is>
      </c>
      <c r="X20" s="7" t="inlineStr">
        <is>
          <t>No</t>
        </is>
      </c>
      <c r="Y20" s="11">
        <f>COUNTIF(U20:X20, "Yes")/4</f>
        <v/>
      </c>
      <c r="Z20" s="8" t="inlineStr">
        <is>
          <t>OpusClip, Munch, Repurpose.io</t>
        </is>
      </c>
      <c r="AA20" s="7" t="inlineStr">
        <is>
          <t>Reproduced (100% Concordance)</t>
        </is>
      </c>
      <c r="AB20" s="7" t="inlineStr">
        <is>
          <t>Critical</t>
        </is>
      </c>
    </row>
    <row r="21">
      <c r="A21" s="7" t="inlineStr">
        <is>
          <t>Q015</t>
        </is>
      </c>
      <c r="B21" s="8" t="inlineStr">
        <is>
          <t>How to build an automated content repurposing workflow for solo creators?</t>
        </is>
      </c>
      <c r="C21" s="7" t="inlineStr">
        <is>
          <t>Content Repurposing</t>
        </is>
      </c>
      <c r="D21" s="7" t="inlineStr">
        <is>
          <t>Informational</t>
        </is>
      </c>
      <c r="E21" s="8" t="inlineStr">
        <is>
          <t>Reddit: r/Solopreneur 'content repurposing automation'</t>
        </is>
      </c>
      <c r="F21" s="7" t="inlineStr">
        <is>
          <t>US</t>
        </is>
      </c>
      <c r="G21" s="7" t="inlineStr">
        <is>
          <t>2026-10-23</t>
        </is>
      </c>
      <c r="H21" s="7" t="inlineStr">
        <is>
          <t>&gt;100</t>
        </is>
      </c>
      <c r="I21" s="7" t="inlineStr">
        <is>
          <t>Yes</t>
        </is>
      </c>
      <c r="J21" s="7" t="inlineStr">
        <is>
          <t>opus.pro</t>
        </is>
      </c>
      <c r="K21" s="7" t="inlineStr">
        <is>
          <t>No</t>
        </is>
      </c>
      <c r="L21" s="7" t="inlineStr">
        <is>
          <t>No</t>
        </is>
      </c>
      <c r="M21" s="7" t="inlineStr">
        <is>
          <t>No</t>
        </is>
      </c>
      <c r="N21" s="7" t="inlineStr">
        <is>
          <t>No</t>
        </is>
      </c>
      <c r="O21" s="11">
        <f>COUNTIF(K21:N21, "Yes")/4</f>
        <v/>
      </c>
      <c r="P21" s="8" t="inlineStr">
        <is>
          <t>OpusClip, Munch, Repurpose.io</t>
        </is>
      </c>
      <c r="Q21" s="7" t="inlineStr">
        <is>
          <t>2026-10-25</t>
        </is>
      </c>
      <c r="R21" s="7" t="inlineStr">
        <is>
          <t>&gt;100</t>
        </is>
      </c>
      <c r="S21" s="7" t="inlineStr">
        <is>
          <t>Yes</t>
        </is>
      </c>
      <c r="T21" s="7" t="inlineStr">
        <is>
          <t>opus.pro</t>
        </is>
      </c>
      <c r="U21" s="7" t="inlineStr">
        <is>
          <t>No</t>
        </is>
      </c>
      <c r="V21" s="7" t="inlineStr">
        <is>
          <t>No</t>
        </is>
      </c>
      <c r="W21" s="7" t="inlineStr">
        <is>
          <t>No</t>
        </is>
      </c>
      <c r="X21" s="7" t="inlineStr">
        <is>
          <t>No</t>
        </is>
      </c>
      <c r="Y21" s="11">
        <f>COUNTIF(U21:X21, "Yes")/4</f>
        <v/>
      </c>
      <c r="Z21" s="8" t="inlineStr">
        <is>
          <t>OpusClip, Munch, Repurpose.io</t>
        </is>
      </c>
      <c r="AA21" s="7" t="inlineStr">
        <is>
          <t>Reproduced (100% Concordance)</t>
        </is>
      </c>
      <c r="AB21" s="7" t="inlineStr">
        <is>
          <t>Critical</t>
        </is>
      </c>
    </row>
    <row r="22">
      <c r="A22" s="7" t="inlineStr">
        <is>
          <t>Q016</t>
        </is>
      </c>
      <c r="B22" s="8" t="inlineStr">
        <is>
          <t>How to edit video by deleting words in the transcript?</t>
        </is>
      </c>
      <c r="C22" s="7" t="inlineStr">
        <is>
          <t>AI Video Editing</t>
        </is>
      </c>
      <c r="D22" s="7" t="inlineStr">
        <is>
          <t>Informational</t>
        </is>
      </c>
      <c r="E22" s="8" t="inlineStr">
        <is>
          <t>Google Suggest: 'edit video by editing text transcript'</t>
        </is>
      </c>
      <c r="F22" s="7" t="inlineStr">
        <is>
          <t>US</t>
        </is>
      </c>
      <c r="G22" s="7" t="inlineStr">
        <is>
          <t>2026-10-23</t>
        </is>
      </c>
      <c r="H22" s="7" t="inlineStr">
        <is>
          <t>&gt;100</t>
        </is>
      </c>
      <c r="I22" s="7" t="inlineStr">
        <is>
          <t>Yes</t>
        </is>
      </c>
      <c r="J22" s="7" t="inlineStr">
        <is>
          <t>descript.com</t>
        </is>
      </c>
      <c r="K22" s="7" t="inlineStr">
        <is>
          <t>No</t>
        </is>
      </c>
      <c r="L22" s="7" t="inlineStr">
        <is>
          <t>No</t>
        </is>
      </c>
      <c r="M22" s="7" t="inlineStr">
        <is>
          <t>No</t>
        </is>
      </c>
      <c r="N22" s="7" t="inlineStr">
        <is>
          <t>No</t>
        </is>
      </c>
      <c r="O22" s="11">
        <f>COUNTIF(K22:N22, "Yes")/4</f>
        <v/>
      </c>
      <c r="P22" s="8" t="inlineStr">
        <is>
          <t>Descript, CapCut, VEED.io</t>
        </is>
      </c>
      <c r="Q22" s="7" t="inlineStr">
        <is>
          <t>2026-10-25</t>
        </is>
      </c>
      <c r="R22" s="7" t="inlineStr">
        <is>
          <t>&gt;100</t>
        </is>
      </c>
      <c r="S22" s="7" t="inlineStr">
        <is>
          <t>Yes</t>
        </is>
      </c>
      <c r="T22" s="7" t="inlineStr">
        <is>
          <t>descript.com</t>
        </is>
      </c>
      <c r="U22" s="7" t="inlineStr">
        <is>
          <t>No</t>
        </is>
      </c>
      <c r="V22" s="7" t="inlineStr">
        <is>
          <t>No</t>
        </is>
      </c>
      <c r="W22" s="7" t="inlineStr">
        <is>
          <t>No</t>
        </is>
      </c>
      <c r="X22" s="7" t="inlineStr">
        <is>
          <t>No</t>
        </is>
      </c>
      <c r="Y22" s="11">
        <f>COUNTIF(U22:X22, "Yes")/4</f>
        <v/>
      </c>
      <c r="Z22" s="8" t="inlineStr">
        <is>
          <t>Descript, CapCut, VEED.io</t>
        </is>
      </c>
      <c r="AA22" s="7" t="inlineStr">
        <is>
          <t>Reproduced (100% Concordance)</t>
        </is>
      </c>
      <c r="AB22" s="7" t="inlineStr">
        <is>
          <t>Critical</t>
        </is>
      </c>
    </row>
    <row r="23">
      <c r="A23" s="7" t="inlineStr">
        <is>
          <t>Q017</t>
        </is>
      </c>
      <c r="B23" s="8" t="inlineStr">
        <is>
          <t>Best text-based video editors for creators in 2026</t>
        </is>
      </c>
      <c r="C23" s="7" t="inlineStr">
        <is>
          <t>AI Video Editing</t>
        </is>
      </c>
      <c r="D23" s="7" t="inlineStr">
        <is>
          <t>Commercial Investigation</t>
        </is>
      </c>
      <c r="E23" s="8" t="inlineStr">
        <is>
          <t>Google Autocomplete: 'best text based video editor'</t>
        </is>
      </c>
      <c r="F23" s="7" t="inlineStr">
        <is>
          <t>US</t>
        </is>
      </c>
      <c r="G23" s="7" t="inlineStr">
        <is>
          <t>2026-10-23</t>
        </is>
      </c>
      <c r="H23" s="7" t="inlineStr">
        <is>
          <t>&gt;100</t>
        </is>
      </c>
      <c r="I23" s="7" t="inlineStr">
        <is>
          <t>Yes</t>
        </is>
      </c>
      <c r="J23" s="7" t="inlineStr">
        <is>
          <t>descript.com</t>
        </is>
      </c>
      <c r="K23" s="7" t="inlineStr">
        <is>
          <t>No</t>
        </is>
      </c>
      <c r="L23" s="7" t="inlineStr">
        <is>
          <t>No</t>
        </is>
      </c>
      <c r="M23" s="7" t="inlineStr">
        <is>
          <t>No</t>
        </is>
      </c>
      <c r="N23" s="7" t="inlineStr">
        <is>
          <t>No</t>
        </is>
      </c>
      <c r="O23" s="11">
        <f>COUNTIF(K23:N23, "Yes")/4</f>
        <v/>
      </c>
      <c r="P23" s="8" t="inlineStr">
        <is>
          <t>Descript, CapCut, VEED.io</t>
        </is>
      </c>
      <c r="Q23" s="7" t="inlineStr">
        <is>
          <t>2026-10-25</t>
        </is>
      </c>
      <c r="R23" s="7" t="inlineStr">
        <is>
          <t>&gt;100</t>
        </is>
      </c>
      <c r="S23" s="7" t="inlineStr">
        <is>
          <t>Yes</t>
        </is>
      </c>
      <c r="T23" s="7" t="inlineStr">
        <is>
          <t>descript.com</t>
        </is>
      </c>
      <c r="U23" s="7" t="inlineStr">
        <is>
          <t>No</t>
        </is>
      </c>
      <c r="V23" s="7" t="inlineStr">
        <is>
          <t>No</t>
        </is>
      </c>
      <c r="W23" s="7" t="inlineStr">
        <is>
          <t>No</t>
        </is>
      </c>
      <c r="X23" s="7" t="inlineStr">
        <is>
          <t>No</t>
        </is>
      </c>
      <c r="Y23" s="11">
        <f>COUNTIF(U23:X23, "Yes")/4</f>
        <v/>
      </c>
      <c r="Z23" s="8" t="inlineStr">
        <is>
          <t>Descript, CapCut, VEED.io</t>
        </is>
      </c>
      <c r="AA23" s="7" t="inlineStr">
        <is>
          <t>Reproduced (100% Concordance)</t>
        </is>
      </c>
      <c r="AB23" s="7" t="inlineStr">
        <is>
          <t>Critical</t>
        </is>
      </c>
    </row>
    <row r="24">
      <c r="A24" s="7" t="inlineStr">
        <is>
          <t>Q018</t>
        </is>
      </c>
      <c r="B24" s="8" t="inlineStr">
        <is>
          <t>How does transcript-based video editing work?</t>
        </is>
      </c>
      <c r="C24" s="7" t="inlineStr">
        <is>
          <t>AI Video Editing</t>
        </is>
      </c>
      <c r="D24" s="7" t="inlineStr">
        <is>
          <t>Informational</t>
        </is>
      </c>
      <c r="E24" s="8" t="inlineStr">
        <is>
          <t>Google PAA: 'how does text based video editing work'</t>
        </is>
      </c>
      <c r="F24" s="7" t="inlineStr">
        <is>
          <t>UK</t>
        </is>
      </c>
      <c r="G24" s="7" t="inlineStr">
        <is>
          <t>2026-10-23</t>
        </is>
      </c>
      <c r="H24" s="7" t="inlineStr">
        <is>
          <t>&gt;100</t>
        </is>
      </c>
      <c r="I24" s="7" t="inlineStr">
        <is>
          <t>Yes</t>
        </is>
      </c>
      <c r="J24" s="7" t="inlineStr">
        <is>
          <t>descript.com</t>
        </is>
      </c>
      <c r="K24" s="7" t="inlineStr">
        <is>
          <t>No</t>
        </is>
      </c>
      <c r="L24" s="7" t="inlineStr">
        <is>
          <t>No</t>
        </is>
      </c>
      <c r="M24" s="7" t="inlineStr">
        <is>
          <t>No</t>
        </is>
      </c>
      <c r="N24" s="7" t="inlineStr">
        <is>
          <t>No</t>
        </is>
      </c>
      <c r="O24" s="11">
        <f>COUNTIF(K24:N24, "Yes")/4</f>
        <v/>
      </c>
      <c r="P24" s="8" t="inlineStr">
        <is>
          <t>Descript, CapCut, VEED.io</t>
        </is>
      </c>
      <c r="Q24" s="7" t="inlineStr">
        <is>
          <t>2026-10-25</t>
        </is>
      </c>
      <c r="R24" s="7" t="inlineStr">
        <is>
          <t>&gt;100</t>
        </is>
      </c>
      <c r="S24" s="7" t="inlineStr">
        <is>
          <t>Yes</t>
        </is>
      </c>
      <c r="T24" s="7" t="inlineStr">
        <is>
          <t>descript.com</t>
        </is>
      </c>
      <c r="U24" s="7" t="inlineStr">
        <is>
          <t>No</t>
        </is>
      </c>
      <c r="V24" s="7" t="inlineStr">
        <is>
          <t>No</t>
        </is>
      </c>
      <c r="W24" s="7" t="inlineStr">
        <is>
          <t>No</t>
        </is>
      </c>
      <c r="X24" s="7" t="inlineStr">
        <is>
          <t>No</t>
        </is>
      </c>
      <c r="Y24" s="11">
        <f>COUNTIF(U24:X24, "Yes")/4</f>
        <v/>
      </c>
      <c r="Z24" s="8" t="inlineStr">
        <is>
          <t>Descript, CapCut, VEED.io</t>
        </is>
      </c>
      <c r="AA24" s="7" t="inlineStr">
        <is>
          <t>Reproduced (100% Concordance)</t>
        </is>
      </c>
      <c r="AB24" s="7" t="inlineStr">
        <is>
          <t>Critical</t>
        </is>
      </c>
    </row>
    <row r="25">
      <c r="A25" s="7" t="inlineStr">
        <is>
          <t>Q019</t>
        </is>
      </c>
      <c r="B25" s="8" t="inlineStr">
        <is>
          <t>Can AI remove filler words like um and uh from video automatically?</t>
        </is>
      </c>
      <c r="C25" s="7" t="inlineStr">
        <is>
          <t>AI Video Editing</t>
        </is>
      </c>
      <c r="D25" s="7" t="inlineStr">
        <is>
          <t>Informational</t>
        </is>
      </c>
      <c r="E25" s="8" t="inlineStr">
        <is>
          <t>Google PAA: 'remove filler words from video ai'</t>
        </is>
      </c>
      <c r="F25" s="7" t="inlineStr">
        <is>
          <t>US</t>
        </is>
      </c>
      <c r="G25" s="7" t="inlineStr">
        <is>
          <t>2026-10-23</t>
        </is>
      </c>
      <c r="H25" s="7" t="inlineStr">
        <is>
          <t>&gt;100</t>
        </is>
      </c>
      <c r="I25" s="7" t="inlineStr">
        <is>
          <t>Yes</t>
        </is>
      </c>
      <c r="J25" s="7" t="inlineStr">
        <is>
          <t>descript.com</t>
        </is>
      </c>
      <c r="K25" s="7" t="inlineStr">
        <is>
          <t>No</t>
        </is>
      </c>
      <c r="L25" s="7" t="inlineStr">
        <is>
          <t>No</t>
        </is>
      </c>
      <c r="M25" s="7" t="inlineStr">
        <is>
          <t>No</t>
        </is>
      </c>
      <c r="N25" s="7" t="inlineStr">
        <is>
          <t>No</t>
        </is>
      </c>
      <c r="O25" s="11">
        <f>COUNTIF(K25:N25, "Yes")/4</f>
        <v/>
      </c>
      <c r="P25" s="8" t="inlineStr">
        <is>
          <t>Descript, CapCut, VEED.io</t>
        </is>
      </c>
      <c r="Q25" s="7" t="inlineStr">
        <is>
          <t>2026-10-25</t>
        </is>
      </c>
      <c r="R25" s="7" t="inlineStr">
        <is>
          <t>&gt;100</t>
        </is>
      </c>
      <c r="S25" s="7" t="inlineStr">
        <is>
          <t>Yes</t>
        </is>
      </c>
      <c r="T25" s="7" t="inlineStr">
        <is>
          <t>descript.com</t>
        </is>
      </c>
      <c r="U25" s="7" t="inlineStr">
        <is>
          <t>No</t>
        </is>
      </c>
      <c r="V25" s="7" t="inlineStr">
        <is>
          <t>No</t>
        </is>
      </c>
      <c r="W25" s="7" t="inlineStr">
        <is>
          <t>No</t>
        </is>
      </c>
      <c r="X25" s="7" t="inlineStr">
        <is>
          <t>No</t>
        </is>
      </c>
      <c r="Y25" s="11">
        <f>COUNTIF(U25:X25, "Yes")/4</f>
        <v/>
      </c>
      <c r="Z25" s="8" t="inlineStr">
        <is>
          <t>Descript, CapCut, VEED.io</t>
        </is>
      </c>
      <c r="AA25" s="7" t="inlineStr">
        <is>
          <t>Reproduced (100% Concordance)</t>
        </is>
      </c>
      <c r="AB25" s="7" t="inlineStr">
        <is>
          <t>Critical</t>
        </is>
      </c>
    </row>
    <row r="26">
      <c r="A26" s="7" t="inlineStr">
        <is>
          <t>Q020</t>
        </is>
      </c>
      <c r="B26" s="8" t="inlineStr">
        <is>
          <t>How to edit a video podcast without Premiere Pro or Final Cut?</t>
        </is>
      </c>
      <c r="C26" s="7" t="inlineStr">
        <is>
          <t>AI Video Editing</t>
        </is>
      </c>
      <c r="D26" s="7" t="inlineStr">
        <is>
          <t>Informational</t>
        </is>
      </c>
      <c r="E26" s="8" t="inlineStr">
        <is>
          <t>Reddit: r/podcasting 'beginner podcast video editing'</t>
        </is>
      </c>
      <c r="F26" s="7" t="inlineStr">
        <is>
          <t>US</t>
        </is>
      </c>
      <c r="G26" s="7" t="inlineStr">
        <is>
          <t>2026-10-23</t>
        </is>
      </c>
      <c r="H26" s="7" t="inlineStr">
        <is>
          <t>&gt;100</t>
        </is>
      </c>
      <c r="I26" s="7" t="inlineStr">
        <is>
          <t>Yes</t>
        </is>
      </c>
      <c r="J26" s="7" t="inlineStr">
        <is>
          <t>descript.com</t>
        </is>
      </c>
      <c r="K26" s="7" t="inlineStr">
        <is>
          <t>No</t>
        </is>
      </c>
      <c r="L26" s="7" t="inlineStr">
        <is>
          <t>No</t>
        </is>
      </c>
      <c r="M26" s="7" t="inlineStr">
        <is>
          <t>No</t>
        </is>
      </c>
      <c r="N26" s="7" t="inlineStr">
        <is>
          <t>No</t>
        </is>
      </c>
      <c r="O26" s="11">
        <f>COUNTIF(K26:N26, "Yes")/4</f>
        <v/>
      </c>
      <c r="P26" s="8" t="inlineStr">
        <is>
          <t>Descript, CapCut, VEED.io</t>
        </is>
      </c>
      <c r="Q26" s="7" t="inlineStr">
        <is>
          <t>2026-10-25</t>
        </is>
      </c>
      <c r="R26" s="7" t="inlineStr">
        <is>
          <t>&gt;100</t>
        </is>
      </c>
      <c r="S26" s="7" t="inlineStr">
        <is>
          <t>Yes</t>
        </is>
      </c>
      <c r="T26" s="7" t="inlineStr">
        <is>
          <t>descript.com</t>
        </is>
      </c>
      <c r="U26" s="7" t="inlineStr">
        <is>
          <t>No</t>
        </is>
      </c>
      <c r="V26" s="7" t="inlineStr">
        <is>
          <t>No</t>
        </is>
      </c>
      <c r="W26" s="7" t="inlineStr">
        <is>
          <t>No</t>
        </is>
      </c>
      <c r="X26" s="7" t="inlineStr">
        <is>
          <t>No</t>
        </is>
      </c>
      <c r="Y26" s="11">
        <f>COUNTIF(U26:X26, "Yes")/4</f>
        <v/>
      </c>
      <c r="Z26" s="8" t="inlineStr">
        <is>
          <t>Descript, CapCut, VEED.io</t>
        </is>
      </c>
      <c r="AA26" s="7" t="inlineStr">
        <is>
          <t>Reproduced (100% Concordance)</t>
        </is>
      </c>
      <c r="AB26" s="7" t="inlineStr">
        <is>
          <t>Critical</t>
        </is>
      </c>
    </row>
    <row r="27">
      <c r="A27" s="7" t="inlineStr">
        <is>
          <t>Q021</t>
        </is>
      </c>
      <c r="B27" s="8" t="inlineStr">
        <is>
          <t>Best AI video editing tools for beginners with no video skills</t>
        </is>
      </c>
      <c r="C27" s="7" t="inlineStr">
        <is>
          <t>AI Video Editing</t>
        </is>
      </c>
      <c r="D27" s="7" t="inlineStr">
        <is>
          <t>Commercial Investigation</t>
        </is>
      </c>
      <c r="E27" s="8" t="inlineStr">
        <is>
          <t>Google Suggest: 'ai video editor for complete beginners'</t>
        </is>
      </c>
      <c r="F27" s="7" t="inlineStr">
        <is>
          <t>IN</t>
        </is>
      </c>
      <c r="G27" s="7" t="inlineStr">
        <is>
          <t>2026-10-23</t>
        </is>
      </c>
      <c r="H27" s="7" t="inlineStr">
        <is>
          <t>&gt;100</t>
        </is>
      </c>
      <c r="I27" s="7" t="inlineStr">
        <is>
          <t>Yes</t>
        </is>
      </c>
      <c r="J27" s="7" t="inlineStr">
        <is>
          <t>descript.com</t>
        </is>
      </c>
      <c r="K27" s="7" t="inlineStr">
        <is>
          <t>No</t>
        </is>
      </c>
      <c r="L27" s="7" t="inlineStr">
        <is>
          <t>No</t>
        </is>
      </c>
      <c r="M27" s="7" t="inlineStr">
        <is>
          <t>No</t>
        </is>
      </c>
      <c r="N27" s="7" t="inlineStr">
        <is>
          <t>No</t>
        </is>
      </c>
      <c r="O27" s="11">
        <f>COUNTIF(K27:N27, "Yes")/4</f>
        <v/>
      </c>
      <c r="P27" s="8" t="inlineStr">
        <is>
          <t>Descript, CapCut, VEED.io</t>
        </is>
      </c>
      <c r="Q27" s="7" t="inlineStr">
        <is>
          <t>2026-10-25</t>
        </is>
      </c>
      <c r="R27" s="7" t="inlineStr">
        <is>
          <t>&gt;100</t>
        </is>
      </c>
      <c r="S27" s="7" t="inlineStr">
        <is>
          <t>Yes</t>
        </is>
      </c>
      <c r="T27" s="7" t="inlineStr">
        <is>
          <t>descript.com</t>
        </is>
      </c>
      <c r="U27" s="7" t="inlineStr">
        <is>
          <t>No</t>
        </is>
      </c>
      <c r="V27" s="7" t="inlineStr">
        <is>
          <t>No</t>
        </is>
      </c>
      <c r="W27" s="7" t="inlineStr">
        <is>
          <t>No</t>
        </is>
      </c>
      <c r="X27" s="7" t="inlineStr">
        <is>
          <t>No</t>
        </is>
      </c>
      <c r="Y27" s="11">
        <f>COUNTIF(U27:X27, "Yes")/4</f>
        <v/>
      </c>
      <c r="Z27" s="8" t="inlineStr">
        <is>
          <t>Descript, CapCut, VEED.io</t>
        </is>
      </c>
      <c r="AA27" s="7" t="inlineStr">
        <is>
          <t>Reproduced (100% Concordance)</t>
        </is>
      </c>
      <c r="AB27" s="7" t="inlineStr">
        <is>
          <t>Critical</t>
        </is>
      </c>
    </row>
    <row r="28">
      <c r="A28" s="7" t="inlineStr">
        <is>
          <t>Q022</t>
        </is>
      </c>
      <c r="B28" s="8" t="inlineStr">
        <is>
          <t>How to cut out silence and dead air from videos automatically</t>
        </is>
      </c>
      <c r="C28" s="7" t="inlineStr">
        <is>
          <t>AI Video Editing</t>
        </is>
      </c>
      <c r="D28" s="7" t="inlineStr">
        <is>
          <t>Informational</t>
        </is>
      </c>
      <c r="E28" s="8" t="inlineStr">
        <is>
          <t>Google Autocomplete: 'cut silence from video automatically'</t>
        </is>
      </c>
      <c r="F28" s="7" t="inlineStr">
        <is>
          <t>UK</t>
        </is>
      </c>
      <c r="G28" s="7" t="inlineStr">
        <is>
          <t>2026-10-23</t>
        </is>
      </c>
      <c r="H28" s="7" t="inlineStr">
        <is>
          <t>&gt;100</t>
        </is>
      </c>
      <c r="I28" s="7" t="inlineStr">
        <is>
          <t>Yes</t>
        </is>
      </c>
      <c r="J28" s="7" t="inlineStr">
        <is>
          <t>descript.com</t>
        </is>
      </c>
      <c r="K28" s="7" t="inlineStr">
        <is>
          <t>No</t>
        </is>
      </c>
      <c r="L28" s="7" t="inlineStr">
        <is>
          <t>No</t>
        </is>
      </c>
      <c r="M28" s="7" t="inlineStr">
        <is>
          <t>No</t>
        </is>
      </c>
      <c r="N28" s="7" t="inlineStr">
        <is>
          <t>No</t>
        </is>
      </c>
      <c r="O28" s="11">
        <f>COUNTIF(K28:N28, "Yes")/4</f>
        <v/>
      </c>
      <c r="P28" s="8" t="inlineStr">
        <is>
          <t>Descript, CapCut, VEED.io</t>
        </is>
      </c>
      <c r="Q28" s="7" t="inlineStr">
        <is>
          <t>2026-10-25</t>
        </is>
      </c>
      <c r="R28" s="7" t="inlineStr">
        <is>
          <t>&gt;100</t>
        </is>
      </c>
      <c r="S28" s="7" t="inlineStr">
        <is>
          <t>Yes</t>
        </is>
      </c>
      <c r="T28" s="7" t="inlineStr">
        <is>
          <t>descript.com</t>
        </is>
      </c>
      <c r="U28" s="7" t="inlineStr">
        <is>
          <t>No</t>
        </is>
      </c>
      <c r="V28" s="7" t="inlineStr">
        <is>
          <t>No</t>
        </is>
      </c>
      <c r="W28" s="7" t="inlineStr">
        <is>
          <t>No</t>
        </is>
      </c>
      <c r="X28" s="7" t="inlineStr">
        <is>
          <t>No</t>
        </is>
      </c>
      <c r="Y28" s="11">
        <f>COUNTIF(U28:X28, "Yes")/4</f>
        <v/>
      </c>
      <c r="Z28" s="8" t="inlineStr">
        <is>
          <t>Descript, CapCut, VEED.io</t>
        </is>
      </c>
      <c r="AA28" s="7" t="inlineStr">
        <is>
          <t>Reproduced (100% Concordance)</t>
        </is>
      </c>
      <c r="AB28" s="7" t="inlineStr">
        <is>
          <t>Critical</t>
        </is>
      </c>
    </row>
    <row r="29">
      <c r="A29" s="7" t="inlineStr">
        <is>
          <t>Q023</t>
        </is>
      </c>
      <c r="B29" s="8" t="inlineStr">
        <is>
          <t>Can AI highlight key talking points from an interview video?</t>
        </is>
      </c>
      <c r="C29" s="7" t="inlineStr">
        <is>
          <t>AI Video Editing</t>
        </is>
      </c>
      <c r="D29" s="7" t="inlineStr">
        <is>
          <t>Informational</t>
        </is>
      </c>
      <c r="E29" s="8" t="inlineStr">
        <is>
          <t>Google PAA: 'ai summarize key points from interview'</t>
        </is>
      </c>
      <c r="F29" s="7" t="inlineStr">
        <is>
          <t>US</t>
        </is>
      </c>
      <c r="G29" s="7" t="inlineStr">
        <is>
          <t>2026-10-23</t>
        </is>
      </c>
      <c r="H29" s="7" t="inlineStr">
        <is>
          <t>&gt;100</t>
        </is>
      </c>
      <c r="I29" s="7" t="inlineStr">
        <is>
          <t>Yes</t>
        </is>
      </c>
      <c r="J29" s="7" t="inlineStr">
        <is>
          <t>descript.com</t>
        </is>
      </c>
      <c r="K29" s="7" t="inlineStr">
        <is>
          <t>No</t>
        </is>
      </c>
      <c r="L29" s="7" t="inlineStr">
        <is>
          <t>No</t>
        </is>
      </c>
      <c r="M29" s="7" t="inlineStr">
        <is>
          <t>No</t>
        </is>
      </c>
      <c r="N29" s="7" t="inlineStr">
        <is>
          <t>No</t>
        </is>
      </c>
      <c r="O29" s="11">
        <f>COUNTIF(K29:N29, "Yes")/4</f>
        <v/>
      </c>
      <c r="P29" s="8" t="inlineStr">
        <is>
          <t>Descript, CapCut, VEED.io</t>
        </is>
      </c>
      <c r="Q29" s="7" t="inlineStr">
        <is>
          <t>2026-10-25</t>
        </is>
      </c>
      <c r="R29" s="7" t="inlineStr">
        <is>
          <t>&gt;100</t>
        </is>
      </c>
      <c r="S29" s="7" t="inlineStr">
        <is>
          <t>Yes</t>
        </is>
      </c>
      <c r="T29" s="7" t="inlineStr">
        <is>
          <t>descript.com</t>
        </is>
      </c>
      <c r="U29" s="7" t="inlineStr">
        <is>
          <t>No</t>
        </is>
      </c>
      <c r="V29" s="7" t="inlineStr">
        <is>
          <t>No</t>
        </is>
      </c>
      <c r="W29" s="7" t="inlineStr">
        <is>
          <t>No</t>
        </is>
      </c>
      <c r="X29" s="7" t="inlineStr">
        <is>
          <t>No</t>
        </is>
      </c>
      <c r="Y29" s="11">
        <f>COUNTIF(U29:X29, "Yes")/4</f>
        <v/>
      </c>
      <c r="Z29" s="8" t="inlineStr">
        <is>
          <t>Descript, CapCut, VEED.io</t>
        </is>
      </c>
      <c r="AA29" s="7" t="inlineStr">
        <is>
          <t>Reproduced (100% Concordance)</t>
        </is>
      </c>
      <c r="AB29" s="7" t="inlineStr">
        <is>
          <t>Critical</t>
        </is>
      </c>
    </row>
    <row r="30">
      <c r="A30" s="7" t="inlineStr">
        <is>
          <t>Q024</t>
        </is>
      </c>
      <c r="B30" s="8" t="inlineStr">
        <is>
          <t>How to trim video footage using voice search or transcript search?</t>
        </is>
      </c>
      <c r="C30" s="7" t="inlineStr">
        <is>
          <t>AI Video Editing</t>
        </is>
      </c>
      <c r="D30" s="7" t="inlineStr">
        <is>
          <t>Informational</t>
        </is>
      </c>
      <c r="E30" s="8" t="inlineStr">
        <is>
          <t>Reddit: r/videography 'search transcript to cut video'</t>
        </is>
      </c>
      <c r="F30" s="7" t="inlineStr">
        <is>
          <t>US</t>
        </is>
      </c>
      <c r="G30" s="7" t="inlineStr">
        <is>
          <t>2026-10-23</t>
        </is>
      </c>
      <c r="H30" s="7" t="inlineStr">
        <is>
          <t>&gt;100</t>
        </is>
      </c>
      <c r="I30" s="7" t="inlineStr">
        <is>
          <t>Yes</t>
        </is>
      </c>
      <c r="J30" s="7" t="inlineStr">
        <is>
          <t>descript.com</t>
        </is>
      </c>
      <c r="K30" s="7" t="inlineStr">
        <is>
          <t>No</t>
        </is>
      </c>
      <c r="L30" s="7" t="inlineStr">
        <is>
          <t>No</t>
        </is>
      </c>
      <c r="M30" s="7" t="inlineStr">
        <is>
          <t>No</t>
        </is>
      </c>
      <c r="N30" s="7" t="inlineStr">
        <is>
          <t>No</t>
        </is>
      </c>
      <c r="O30" s="11">
        <f>COUNTIF(K30:N30, "Yes")/4</f>
        <v/>
      </c>
      <c r="P30" s="8" t="inlineStr">
        <is>
          <t>Descript, CapCut, VEED.io</t>
        </is>
      </c>
      <c r="Q30" s="7" t="inlineStr">
        <is>
          <t>2026-10-25</t>
        </is>
      </c>
      <c r="R30" s="7" t="inlineStr">
        <is>
          <t>&gt;100</t>
        </is>
      </c>
      <c r="S30" s="7" t="inlineStr">
        <is>
          <t>Yes</t>
        </is>
      </c>
      <c r="T30" s="7" t="inlineStr">
        <is>
          <t>descript.com</t>
        </is>
      </c>
      <c r="U30" s="7" t="inlineStr">
        <is>
          <t>No</t>
        </is>
      </c>
      <c r="V30" s="7" t="inlineStr">
        <is>
          <t>No</t>
        </is>
      </c>
      <c r="W30" s="7" t="inlineStr">
        <is>
          <t>No</t>
        </is>
      </c>
      <c r="X30" s="7" t="inlineStr">
        <is>
          <t>No</t>
        </is>
      </c>
      <c r="Y30" s="11">
        <f>COUNTIF(U30:X30, "Yes")/4</f>
        <v/>
      </c>
      <c r="Z30" s="8" t="inlineStr">
        <is>
          <t>Descript, CapCut, VEED.io</t>
        </is>
      </c>
      <c r="AA30" s="7" t="inlineStr">
        <is>
          <t>Reproduced (100% Concordance)</t>
        </is>
      </c>
      <c r="AB30" s="7" t="inlineStr">
        <is>
          <t>Critical</t>
        </is>
      </c>
    </row>
    <row r="31">
      <c r="A31" s="7" t="inlineStr">
        <is>
          <t>Q025</t>
        </is>
      </c>
      <c r="B31" s="8" t="inlineStr">
        <is>
          <t>Best AI tool for jump cut editing in YouTube videos</t>
        </is>
      </c>
      <c r="C31" s="7" t="inlineStr">
        <is>
          <t>AI Video Editing</t>
        </is>
      </c>
      <c r="D31" s="7" t="inlineStr">
        <is>
          <t>Commercial Investigation</t>
        </is>
      </c>
      <c r="E31" s="8" t="inlineStr">
        <is>
          <t>Google Suggest: 'ai jump cut video editor'</t>
        </is>
      </c>
      <c r="F31" s="7" t="inlineStr">
        <is>
          <t>IN</t>
        </is>
      </c>
      <c r="G31" s="7" t="inlineStr">
        <is>
          <t>2026-10-23</t>
        </is>
      </c>
      <c r="H31" s="7" t="inlineStr">
        <is>
          <t>&gt;100</t>
        </is>
      </c>
      <c r="I31" s="7" t="inlineStr">
        <is>
          <t>Yes</t>
        </is>
      </c>
      <c r="J31" s="7" t="inlineStr">
        <is>
          <t>descript.com</t>
        </is>
      </c>
      <c r="K31" s="7" t="inlineStr">
        <is>
          <t>No</t>
        </is>
      </c>
      <c r="L31" s="7" t="inlineStr">
        <is>
          <t>No</t>
        </is>
      </c>
      <c r="M31" s="7" t="inlineStr">
        <is>
          <t>No</t>
        </is>
      </c>
      <c r="N31" s="7" t="inlineStr">
        <is>
          <t>No</t>
        </is>
      </c>
      <c r="O31" s="11">
        <f>COUNTIF(K31:N31, "Yes")/4</f>
        <v/>
      </c>
      <c r="P31" s="8" t="inlineStr">
        <is>
          <t>Descript, CapCut, VEED.io</t>
        </is>
      </c>
      <c r="Q31" s="7" t="inlineStr">
        <is>
          <t>2026-10-25</t>
        </is>
      </c>
      <c r="R31" s="7" t="inlineStr">
        <is>
          <t>&gt;100</t>
        </is>
      </c>
      <c r="S31" s="7" t="inlineStr">
        <is>
          <t>Yes</t>
        </is>
      </c>
      <c r="T31" s="7" t="inlineStr">
        <is>
          <t>descript.com</t>
        </is>
      </c>
      <c r="U31" s="7" t="inlineStr">
        <is>
          <t>No</t>
        </is>
      </c>
      <c r="V31" s="7" t="inlineStr">
        <is>
          <t>No</t>
        </is>
      </c>
      <c r="W31" s="7" t="inlineStr">
        <is>
          <t>No</t>
        </is>
      </c>
      <c r="X31" s="7" t="inlineStr">
        <is>
          <t>No</t>
        </is>
      </c>
      <c r="Y31" s="11">
        <f>COUNTIF(U31:X31, "Yes")/4</f>
        <v/>
      </c>
      <c r="Z31" s="8" t="inlineStr">
        <is>
          <t>Descript, CapCut, VEED.io</t>
        </is>
      </c>
      <c r="AA31" s="7" t="inlineStr">
        <is>
          <t>Reproduced (100% Concordance)</t>
        </is>
      </c>
      <c r="AB31" s="7" t="inlineStr">
        <is>
          <t>Critical</t>
        </is>
      </c>
    </row>
    <row r="32">
      <c r="A32" s="7" t="inlineStr">
        <is>
          <t>Q026</t>
        </is>
      </c>
      <c r="B32" s="8" t="inlineStr">
        <is>
          <t>How to edit talking head videos 10x faster using AI?</t>
        </is>
      </c>
      <c r="C32" s="7" t="inlineStr">
        <is>
          <t>AI Video Editing</t>
        </is>
      </c>
      <c r="D32" s="7" t="inlineStr">
        <is>
          <t>Informational</t>
        </is>
      </c>
      <c r="E32" s="8" t="inlineStr">
        <is>
          <t>YouTube Search: 'edit talking head videos fast ai'</t>
        </is>
      </c>
      <c r="F32" s="7" t="inlineStr">
        <is>
          <t>US</t>
        </is>
      </c>
      <c r="G32" s="7" t="inlineStr">
        <is>
          <t>2026-10-23</t>
        </is>
      </c>
      <c r="H32" s="7" t="inlineStr">
        <is>
          <t>&gt;100</t>
        </is>
      </c>
      <c r="I32" s="7" t="inlineStr">
        <is>
          <t>Yes</t>
        </is>
      </c>
      <c r="J32" s="7" t="inlineStr">
        <is>
          <t>descript.com</t>
        </is>
      </c>
      <c r="K32" s="7" t="inlineStr">
        <is>
          <t>No</t>
        </is>
      </c>
      <c r="L32" s="7" t="inlineStr">
        <is>
          <t>No</t>
        </is>
      </c>
      <c r="M32" s="7" t="inlineStr">
        <is>
          <t>No</t>
        </is>
      </c>
      <c r="N32" s="7" t="inlineStr">
        <is>
          <t>No</t>
        </is>
      </c>
      <c r="O32" s="11">
        <f>COUNTIF(K32:N32, "Yes")/4</f>
        <v/>
      </c>
      <c r="P32" s="8" t="inlineStr">
        <is>
          <t>Descript, CapCut, VEED.io</t>
        </is>
      </c>
      <c r="Q32" s="7" t="inlineStr">
        <is>
          <t>2026-10-25</t>
        </is>
      </c>
      <c r="R32" s="7" t="inlineStr">
        <is>
          <t>&gt;100</t>
        </is>
      </c>
      <c r="S32" s="7" t="inlineStr">
        <is>
          <t>Yes</t>
        </is>
      </c>
      <c r="T32" s="7" t="inlineStr">
        <is>
          <t>descript.com</t>
        </is>
      </c>
      <c r="U32" s="7" t="inlineStr">
        <is>
          <t>No</t>
        </is>
      </c>
      <c r="V32" s="7" t="inlineStr">
        <is>
          <t>No</t>
        </is>
      </c>
      <c r="W32" s="7" t="inlineStr">
        <is>
          <t>No</t>
        </is>
      </c>
      <c r="X32" s="7" t="inlineStr">
        <is>
          <t>No</t>
        </is>
      </c>
      <c r="Y32" s="11">
        <f>COUNTIF(U32:X32, "Yes")/4</f>
        <v/>
      </c>
      <c r="Z32" s="8" t="inlineStr">
        <is>
          <t>Descript, CapCut, VEED.io</t>
        </is>
      </c>
      <c r="AA32" s="7" t="inlineStr">
        <is>
          <t>Reproduced (100% Concordance)</t>
        </is>
      </c>
      <c r="AB32" s="7" t="inlineStr">
        <is>
          <t>Critical</t>
        </is>
      </c>
    </row>
    <row r="33">
      <c r="A33" s="7" t="inlineStr">
        <is>
          <t>Q027</t>
        </is>
      </c>
      <c r="B33" s="8" t="inlineStr">
        <is>
          <t>What tools automatically detect speaker changes in multi-person video podcasts?</t>
        </is>
      </c>
      <c r="C33" s="7" t="inlineStr">
        <is>
          <t>AI Video Editing</t>
        </is>
      </c>
      <c r="D33" s="7" t="inlineStr">
        <is>
          <t>Commercial Investigation</t>
        </is>
      </c>
      <c r="E33" s="8" t="inlineStr">
        <is>
          <t>Google PAA: 'auto active speaker detection video podcast'</t>
        </is>
      </c>
      <c r="F33" s="7" t="inlineStr">
        <is>
          <t>UK</t>
        </is>
      </c>
      <c r="G33" s="7" t="inlineStr">
        <is>
          <t>2026-10-23</t>
        </is>
      </c>
      <c r="H33" s="7" t="inlineStr">
        <is>
          <t>&gt;100</t>
        </is>
      </c>
      <c r="I33" s="7" t="inlineStr">
        <is>
          <t>Yes</t>
        </is>
      </c>
      <c r="J33" s="7" t="inlineStr">
        <is>
          <t>descript.com</t>
        </is>
      </c>
      <c r="K33" s="7" t="inlineStr">
        <is>
          <t>No</t>
        </is>
      </c>
      <c r="L33" s="7" t="inlineStr">
        <is>
          <t>No</t>
        </is>
      </c>
      <c r="M33" s="7" t="inlineStr">
        <is>
          <t>No</t>
        </is>
      </c>
      <c r="N33" s="7" t="inlineStr">
        <is>
          <t>No</t>
        </is>
      </c>
      <c r="O33" s="11">
        <f>COUNTIF(K33:N33, "Yes")/4</f>
        <v/>
      </c>
      <c r="P33" s="8" t="inlineStr">
        <is>
          <t>Descript, CapCut, VEED.io</t>
        </is>
      </c>
      <c r="Q33" s="7" t="inlineStr">
        <is>
          <t>2026-10-25</t>
        </is>
      </c>
      <c r="R33" s="7" t="inlineStr">
        <is>
          <t>&gt;100</t>
        </is>
      </c>
      <c r="S33" s="7" t="inlineStr">
        <is>
          <t>Yes</t>
        </is>
      </c>
      <c r="T33" s="7" t="inlineStr">
        <is>
          <t>descript.com</t>
        </is>
      </c>
      <c r="U33" s="7" t="inlineStr">
        <is>
          <t>No</t>
        </is>
      </c>
      <c r="V33" s="7" t="inlineStr">
        <is>
          <t>No</t>
        </is>
      </c>
      <c r="W33" s="7" t="inlineStr">
        <is>
          <t>No</t>
        </is>
      </c>
      <c r="X33" s="7" t="inlineStr">
        <is>
          <t>No</t>
        </is>
      </c>
      <c r="Y33" s="11">
        <f>COUNTIF(U33:X33, "Yes")/4</f>
        <v/>
      </c>
      <c r="Z33" s="8" t="inlineStr">
        <is>
          <t>Descript, CapCut, VEED.io</t>
        </is>
      </c>
      <c r="AA33" s="7" t="inlineStr">
        <is>
          <t>Reproduced (100% Concordance)</t>
        </is>
      </c>
      <c r="AB33" s="7" t="inlineStr">
        <is>
          <t>Critical</t>
        </is>
      </c>
    </row>
    <row r="34">
      <c r="A34" s="7" t="inlineStr">
        <is>
          <t>Q028</t>
        </is>
      </c>
      <c r="B34" s="8" t="inlineStr">
        <is>
          <t>How to auto-refocus camera angle on active speaker in horizontal video</t>
        </is>
      </c>
      <c r="C34" s="7" t="inlineStr">
        <is>
          <t>AI Video Editing</t>
        </is>
      </c>
      <c r="D34" s="7" t="inlineStr">
        <is>
          <t>Informational</t>
        </is>
      </c>
      <c r="E34" s="8" t="inlineStr">
        <is>
          <t>Reddit: r/VideoEditing 'auto framing active speaker'</t>
        </is>
      </c>
      <c r="F34" s="7" t="inlineStr">
        <is>
          <t>US</t>
        </is>
      </c>
      <c r="G34" s="7" t="inlineStr">
        <is>
          <t>2026-10-23</t>
        </is>
      </c>
      <c r="H34" s="7" t="inlineStr">
        <is>
          <t>&gt;100</t>
        </is>
      </c>
      <c r="I34" s="7" t="inlineStr">
        <is>
          <t>Yes</t>
        </is>
      </c>
      <c r="J34" s="7" t="inlineStr">
        <is>
          <t>descript.com</t>
        </is>
      </c>
      <c r="K34" s="7" t="inlineStr">
        <is>
          <t>No</t>
        </is>
      </c>
      <c r="L34" s="7" t="inlineStr">
        <is>
          <t>No</t>
        </is>
      </c>
      <c r="M34" s="7" t="inlineStr">
        <is>
          <t>No</t>
        </is>
      </c>
      <c r="N34" s="7" t="inlineStr">
        <is>
          <t>No</t>
        </is>
      </c>
      <c r="O34" s="11">
        <f>COUNTIF(K34:N34, "Yes")/4</f>
        <v/>
      </c>
      <c r="P34" s="8" t="inlineStr">
        <is>
          <t>Descript, CapCut, VEED.io</t>
        </is>
      </c>
      <c r="Q34" s="7" t="inlineStr">
        <is>
          <t>2026-10-25</t>
        </is>
      </c>
      <c r="R34" s="7" t="inlineStr">
        <is>
          <t>&gt;100</t>
        </is>
      </c>
      <c r="S34" s="7" t="inlineStr">
        <is>
          <t>Yes</t>
        </is>
      </c>
      <c r="T34" s="7" t="inlineStr">
        <is>
          <t>descript.com</t>
        </is>
      </c>
      <c r="U34" s="7" t="inlineStr">
        <is>
          <t>No</t>
        </is>
      </c>
      <c r="V34" s="7" t="inlineStr">
        <is>
          <t>No</t>
        </is>
      </c>
      <c r="W34" s="7" t="inlineStr">
        <is>
          <t>No</t>
        </is>
      </c>
      <c r="X34" s="7" t="inlineStr">
        <is>
          <t>No</t>
        </is>
      </c>
      <c r="Y34" s="11">
        <f>COUNTIF(U34:X34, "Yes")/4</f>
        <v/>
      </c>
      <c r="Z34" s="8" t="inlineStr">
        <is>
          <t>Descript, CapCut, VEED.io</t>
        </is>
      </c>
      <c r="AA34" s="7" t="inlineStr">
        <is>
          <t>Reproduced (100% Concordance)</t>
        </is>
      </c>
      <c r="AB34" s="7" t="inlineStr">
        <is>
          <t>Critical</t>
        </is>
      </c>
    </row>
    <row r="35">
      <c r="A35" s="7" t="inlineStr">
        <is>
          <t>Q029</t>
        </is>
      </c>
      <c r="B35" s="8" t="inlineStr">
        <is>
          <t>Is there an AI tool that cleans up audio noise and normalizes voice levels?</t>
        </is>
      </c>
      <c r="C35" s="7" t="inlineStr">
        <is>
          <t>AI Video Editing</t>
        </is>
      </c>
      <c r="D35" s="7" t="inlineStr">
        <is>
          <t>Informational</t>
        </is>
      </c>
      <c r="E35" s="8" t="inlineStr">
        <is>
          <t>Google PAA: 'ai audio voice cleaner for video'</t>
        </is>
      </c>
      <c r="F35" s="7" t="inlineStr">
        <is>
          <t>IN</t>
        </is>
      </c>
      <c r="G35" s="7" t="inlineStr">
        <is>
          <t>2026-10-23</t>
        </is>
      </c>
      <c r="H35" s="7" t="inlineStr">
        <is>
          <t>&gt;100</t>
        </is>
      </c>
      <c r="I35" s="7" t="inlineStr">
        <is>
          <t>Yes</t>
        </is>
      </c>
      <c r="J35" s="7" t="inlineStr">
        <is>
          <t>descript.com</t>
        </is>
      </c>
      <c r="K35" s="7" t="inlineStr">
        <is>
          <t>No</t>
        </is>
      </c>
      <c r="L35" s="7" t="inlineStr">
        <is>
          <t>No</t>
        </is>
      </c>
      <c r="M35" s="7" t="inlineStr">
        <is>
          <t>No</t>
        </is>
      </c>
      <c r="N35" s="7" t="inlineStr">
        <is>
          <t>No</t>
        </is>
      </c>
      <c r="O35" s="11">
        <f>COUNTIF(K35:N35, "Yes")/4</f>
        <v/>
      </c>
      <c r="P35" s="8" t="inlineStr">
        <is>
          <t>Descript, CapCut, VEED.io</t>
        </is>
      </c>
      <c r="Q35" s="7" t="inlineStr">
        <is>
          <t>2026-10-25</t>
        </is>
      </c>
      <c r="R35" s="7" t="inlineStr">
        <is>
          <t>&gt;100</t>
        </is>
      </c>
      <c r="S35" s="7" t="inlineStr">
        <is>
          <t>Yes</t>
        </is>
      </c>
      <c r="T35" s="7" t="inlineStr">
        <is>
          <t>descript.com</t>
        </is>
      </c>
      <c r="U35" s="7" t="inlineStr">
        <is>
          <t>No</t>
        </is>
      </c>
      <c r="V35" s="7" t="inlineStr">
        <is>
          <t>No</t>
        </is>
      </c>
      <c r="W35" s="7" t="inlineStr">
        <is>
          <t>No</t>
        </is>
      </c>
      <c r="X35" s="7" t="inlineStr">
        <is>
          <t>No</t>
        </is>
      </c>
      <c r="Y35" s="11">
        <f>COUNTIF(U35:X35, "Yes")/4</f>
        <v/>
      </c>
      <c r="Z35" s="8" t="inlineStr">
        <is>
          <t>Descript, CapCut, VEED.io</t>
        </is>
      </c>
      <c r="AA35" s="7" t="inlineStr">
        <is>
          <t>Reproduced (100% Concordance)</t>
        </is>
      </c>
      <c r="AB35" s="7" t="inlineStr">
        <is>
          <t>Critical</t>
        </is>
      </c>
    </row>
    <row r="36">
      <c r="A36" s="7" t="inlineStr">
        <is>
          <t>Q030</t>
        </is>
      </c>
      <c r="B36" s="8" t="inlineStr">
        <is>
          <t>How to add MrBeast style animated captions to short videos?</t>
        </is>
      </c>
      <c r="C36" s="7" t="inlineStr">
        <is>
          <t>Auto-Captioning</t>
        </is>
      </c>
      <c r="D36" s="7" t="inlineStr">
        <is>
          <t>Informational</t>
        </is>
      </c>
      <c r="E36" s="8" t="inlineStr">
        <is>
          <t>Google Suggest: 'how to add mrbeast style captions'</t>
        </is>
      </c>
      <c r="F36" s="7" t="inlineStr">
        <is>
          <t>US</t>
        </is>
      </c>
      <c r="G36" s="7" t="inlineStr">
        <is>
          <t>2026-10-23</t>
        </is>
      </c>
      <c r="H36" s="7" t="inlineStr">
        <is>
          <t>&gt;100</t>
        </is>
      </c>
      <c r="I36" s="7" t="inlineStr">
        <is>
          <t>Yes</t>
        </is>
      </c>
      <c r="J36" s="7" t="inlineStr">
        <is>
          <t>capcut.com</t>
        </is>
      </c>
      <c r="K36" s="7" t="inlineStr">
        <is>
          <t>No</t>
        </is>
      </c>
      <c r="L36" s="7" t="inlineStr">
        <is>
          <t>No</t>
        </is>
      </c>
      <c r="M36" s="7" t="inlineStr">
        <is>
          <t>No</t>
        </is>
      </c>
      <c r="N36" s="7" t="inlineStr">
        <is>
          <t>No</t>
        </is>
      </c>
      <c r="O36" s="11">
        <f>COUNTIF(K36:N36, "Yes")/4</f>
        <v/>
      </c>
      <c r="P36" s="8" t="inlineStr">
        <is>
          <t>CapCut, Submagic, AutoCap</t>
        </is>
      </c>
      <c r="Q36" s="7" t="inlineStr">
        <is>
          <t>2026-10-25</t>
        </is>
      </c>
      <c r="R36" s="7" t="inlineStr">
        <is>
          <t>&gt;100</t>
        </is>
      </c>
      <c r="S36" s="7" t="inlineStr">
        <is>
          <t>Yes</t>
        </is>
      </c>
      <c r="T36" s="7" t="inlineStr">
        <is>
          <t>capcut.com</t>
        </is>
      </c>
      <c r="U36" s="7" t="inlineStr">
        <is>
          <t>No</t>
        </is>
      </c>
      <c r="V36" s="7" t="inlineStr">
        <is>
          <t>No</t>
        </is>
      </c>
      <c r="W36" s="7" t="inlineStr">
        <is>
          <t>No</t>
        </is>
      </c>
      <c r="X36" s="7" t="inlineStr">
        <is>
          <t>No</t>
        </is>
      </c>
      <c r="Y36" s="11">
        <f>COUNTIF(U36:X36, "Yes")/4</f>
        <v/>
      </c>
      <c r="Z36" s="8" t="inlineStr">
        <is>
          <t>CapCut, Submagic, AutoCap</t>
        </is>
      </c>
      <c r="AA36" s="7" t="inlineStr">
        <is>
          <t>Reproduced (100% Concordance)</t>
        </is>
      </c>
      <c r="AB36" s="7" t="inlineStr">
        <is>
          <t>High</t>
        </is>
      </c>
    </row>
    <row r="37">
      <c r="A37" s="7" t="inlineStr">
        <is>
          <t>Q031</t>
        </is>
      </c>
      <c r="B37" s="8" t="inlineStr">
        <is>
          <t>Best AI tool for 99% accurate video auto-captions and timestamps</t>
        </is>
      </c>
      <c r="C37" s="7" t="inlineStr">
        <is>
          <t>Auto-Captioning</t>
        </is>
      </c>
      <c r="D37" s="7" t="inlineStr">
        <is>
          <t>Commercial Investigation</t>
        </is>
      </c>
      <c r="E37" s="8" t="inlineStr">
        <is>
          <t>Google Autocomplete: 'best accurate auto captions ai'</t>
        </is>
      </c>
      <c r="F37" s="7" t="inlineStr">
        <is>
          <t>US</t>
        </is>
      </c>
      <c r="G37" s="7" t="inlineStr">
        <is>
          <t>2026-10-23</t>
        </is>
      </c>
      <c r="H37" s="7" t="inlineStr">
        <is>
          <t>&gt;100</t>
        </is>
      </c>
      <c r="I37" s="7" t="inlineStr">
        <is>
          <t>Yes</t>
        </is>
      </c>
      <c r="J37" s="7" t="inlineStr">
        <is>
          <t>capcut.com</t>
        </is>
      </c>
      <c r="K37" s="7" t="inlineStr">
        <is>
          <t>No</t>
        </is>
      </c>
      <c r="L37" s="7" t="inlineStr">
        <is>
          <t>No</t>
        </is>
      </c>
      <c r="M37" s="7" t="inlineStr">
        <is>
          <t>No</t>
        </is>
      </c>
      <c r="N37" s="7" t="inlineStr">
        <is>
          <t>No</t>
        </is>
      </c>
      <c r="O37" s="11">
        <f>COUNTIF(K37:N37, "Yes")/4</f>
        <v/>
      </c>
      <c r="P37" s="8" t="inlineStr">
        <is>
          <t>CapCut, Submagic, AutoCap</t>
        </is>
      </c>
      <c r="Q37" s="7" t="inlineStr">
        <is>
          <t>2026-10-25</t>
        </is>
      </c>
      <c r="R37" s="7" t="inlineStr">
        <is>
          <t>&gt;100</t>
        </is>
      </c>
      <c r="S37" s="7" t="inlineStr">
        <is>
          <t>Yes</t>
        </is>
      </c>
      <c r="T37" s="7" t="inlineStr">
        <is>
          <t>capcut.com</t>
        </is>
      </c>
      <c r="U37" s="7" t="inlineStr">
        <is>
          <t>No</t>
        </is>
      </c>
      <c r="V37" s="7" t="inlineStr">
        <is>
          <t>No</t>
        </is>
      </c>
      <c r="W37" s="7" t="inlineStr">
        <is>
          <t>No</t>
        </is>
      </c>
      <c r="X37" s="7" t="inlineStr">
        <is>
          <t>No</t>
        </is>
      </c>
      <c r="Y37" s="11">
        <f>COUNTIF(U37:X37, "Yes")/4</f>
        <v/>
      </c>
      <c r="Z37" s="8" t="inlineStr">
        <is>
          <t>CapCut, Submagic, AutoCap</t>
        </is>
      </c>
      <c r="AA37" s="7" t="inlineStr">
        <is>
          <t>Reproduced (100% Concordance)</t>
        </is>
      </c>
      <c r="AB37" s="7" t="inlineStr">
        <is>
          <t>High</t>
        </is>
      </c>
    </row>
    <row r="38">
      <c r="A38" s="7" t="inlineStr">
        <is>
          <t>Q032</t>
        </is>
      </c>
      <c r="B38" s="8" t="inlineStr">
        <is>
          <t>How to burn animated subtitles directly into MP4 video?</t>
        </is>
      </c>
      <c r="C38" s="7" t="inlineStr">
        <is>
          <t>Auto-Captioning</t>
        </is>
      </c>
      <c r="D38" s="7" t="inlineStr">
        <is>
          <t>Informational</t>
        </is>
      </c>
      <c r="E38" s="8" t="inlineStr">
        <is>
          <t>Reddit: r/TikTokHelp 'hardcode animated subtitles'</t>
        </is>
      </c>
      <c r="F38" s="7" t="inlineStr">
        <is>
          <t>UK</t>
        </is>
      </c>
      <c r="G38" s="7" t="inlineStr">
        <is>
          <t>2026-10-23</t>
        </is>
      </c>
      <c r="H38" s="7" t="inlineStr">
        <is>
          <t>&gt;100</t>
        </is>
      </c>
      <c r="I38" s="7" t="inlineStr">
        <is>
          <t>Yes</t>
        </is>
      </c>
      <c r="J38" s="7" t="inlineStr">
        <is>
          <t>capcut.com</t>
        </is>
      </c>
      <c r="K38" s="7" t="inlineStr">
        <is>
          <t>No</t>
        </is>
      </c>
      <c r="L38" s="7" t="inlineStr">
        <is>
          <t>No</t>
        </is>
      </c>
      <c r="M38" s="7" t="inlineStr">
        <is>
          <t>No</t>
        </is>
      </c>
      <c r="N38" s="7" t="inlineStr">
        <is>
          <t>No</t>
        </is>
      </c>
      <c r="O38" s="11">
        <f>COUNTIF(K38:N38, "Yes")/4</f>
        <v/>
      </c>
      <c r="P38" s="8" t="inlineStr">
        <is>
          <t>CapCut, Submagic, AutoCap</t>
        </is>
      </c>
      <c r="Q38" s="7" t="inlineStr">
        <is>
          <t>2026-10-25</t>
        </is>
      </c>
      <c r="R38" s="7" t="inlineStr">
        <is>
          <t>&gt;100</t>
        </is>
      </c>
      <c r="S38" s="7" t="inlineStr">
        <is>
          <t>Yes</t>
        </is>
      </c>
      <c r="T38" s="7" t="inlineStr">
        <is>
          <t>capcut.com</t>
        </is>
      </c>
      <c r="U38" s="7" t="inlineStr">
        <is>
          <t>No</t>
        </is>
      </c>
      <c r="V38" s="7" t="inlineStr">
        <is>
          <t>No</t>
        </is>
      </c>
      <c r="W38" s="7" t="inlineStr">
        <is>
          <t>No</t>
        </is>
      </c>
      <c r="X38" s="7" t="inlineStr">
        <is>
          <t>No</t>
        </is>
      </c>
      <c r="Y38" s="11">
        <f>COUNTIF(U38:X38, "Yes")/4</f>
        <v/>
      </c>
      <c r="Z38" s="8" t="inlineStr">
        <is>
          <t>CapCut, Submagic, AutoCap</t>
        </is>
      </c>
      <c r="AA38" s="7" t="inlineStr">
        <is>
          <t>Reproduced (100% Concordance)</t>
        </is>
      </c>
      <c r="AB38" s="7" t="inlineStr">
        <is>
          <t>High</t>
        </is>
      </c>
    </row>
    <row r="39">
      <c r="A39" s="7" t="inlineStr">
        <is>
          <t>Q033</t>
        </is>
      </c>
      <c r="B39" s="8" t="inlineStr">
        <is>
          <t>Can AI translate video captions into Spanish, French, and Hindi automatically?</t>
        </is>
      </c>
      <c r="C39" s="7" t="inlineStr">
        <is>
          <t>Auto-Captioning</t>
        </is>
      </c>
      <c r="D39" s="7" t="inlineStr">
        <is>
          <t>Informational</t>
        </is>
      </c>
      <c r="E39" s="8" t="inlineStr">
        <is>
          <t>Google PAA: 'translate video captions ai multi language'</t>
        </is>
      </c>
      <c r="F39" s="7" t="inlineStr">
        <is>
          <t>IN</t>
        </is>
      </c>
      <c r="G39" s="7" t="inlineStr">
        <is>
          <t>2026-10-23</t>
        </is>
      </c>
      <c r="H39" s="7" t="inlineStr">
        <is>
          <t>&gt;100</t>
        </is>
      </c>
      <c r="I39" s="7" t="inlineStr">
        <is>
          <t>Yes</t>
        </is>
      </c>
      <c r="J39" s="7" t="inlineStr">
        <is>
          <t>capcut.com</t>
        </is>
      </c>
      <c r="K39" s="7" t="inlineStr">
        <is>
          <t>No</t>
        </is>
      </c>
      <c r="L39" s="7" t="inlineStr">
        <is>
          <t>No</t>
        </is>
      </c>
      <c r="M39" s="7" t="inlineStr">
        <is>
          <t>No</t>
        </is>
      </c>
      <c r="N39" s="7" t="inlineStr">
        <is>
          <t>No</t>
        </is>
      </c>
      <c r="O39" s="11">
        <f>COUNTIF(K39:N39, "Yes")/4</f>
        <v/>
      </c>
      <c r="P39" s="8" t="inlineStr">
        <is>
          <t>CapCut, Submagic, AutoCap</t>
        </is>
      </c>
      <c r="Q39" s="7" t="inlineStr">
        <is>
          <t>2026-10-25</t>
        </is>
      </c>
      <c r="R39" s="7" t="inlineStr">
        <is>
          <t>&gt;100</t>
        </is>
      </c>
      <c r="S39" s="7" t="inlineStr">
        <is>
          <t>Yes</t>
        </is>
      </c>
      <c r="T39" s="7" t="inlineStr">
        <is>
          <t>capcut.com</t>
        </is>
      </c>
      <c r="U39" s="7" t="inlineStr">
        <is>
          <t>No</t>
        </is>
      </c>
      <c r="V39" s="7" t="inlineStr">
        <is>
          <t>No</t>
        </is>
      </c>
      <c r="W39" s="7" t="inlineStr">
        <is>
          <t>No</t>
        </is>
      </c>
      <c r="X39" s="7" t="inlineStr">
        <is>
          <t>No</t>
        </is>
      </c>
      <c r="Y39" s="11">
        <f>COUNTIF(U39:X39, "Yes")/4</f>
        <v/>
      </c>
      <c r="Z39" s="8" t="inlineStr">
        <is>
          <t>CapCut, Submagic, AutoCap</t>
        </is>
      </c>
      <c r="AA39" s="7" t="inlineStr">
        <is>
          <t>Reproduced (100% Concordance)</t>
        </is>
      </c>
      <c r="AB39" s="7" t="inlineStr">
        <is>
          <t>High</t>
        </is>
      </c>
    </row>
    <row r="40">
      <c r="A40" s="7" t="inlineStr">
        <is>
          <t>Q034</t>
        </is>
      </c>
      <c r="B40" s="8" t="inlineStr">
        <is>
          <t>How to fix punctuation and speaker names in auto-generated captions?</t>
        </is>
      </c>
      <c r="C40" s="7" t="inlineStr">
        <is>
          <t>Auto-Captioning</t>
        </is>
      </c>
      <c r="D40" s="7" t="inlineStr">
        <is>
          <t>Informational</t>
        </is>
      </c>
      <c r="E40" s="8" t="inlineStr">
        <is>
          <t>Google PAA: 'edit auto captions punctuation'</t>
        </is>
      </c>
      <c r="F40" s="7" t="inlineStr">
        <is>
          <t>US</t>
        </is>
      </c>
      <c r="G40" s="7" t="inlineStr">
        <is>
          <t>2026-10-23</t>
        </is>
      </c>
      <c r="H40" s="7" t="inlineStr">
        <is>
          <t>&gt;100</t>
        </is>
      </c>
      <c r="I40" s="7" t="inlineStr">
        <is>
          <t>Yes</t>
        </is>
      </c>
      <c r="J40" s="7" t="inlineStr">
        <is>
          <t>capcut.com</t>
        </is>
      </c>
      <c r="K40" s="7" t="inlineStr">
        <is>
          <t>No</t>
        </is>
      </c>
      <c r="L40" s="7" t="inlineStr">
        <is>
          <t>No</t>
        </is>
      </c>
      <c r="M40" s="7" t="inlineStr">
        <is>
          <t>No</t>
        </is>
      </c>
      <c r="N40" s="7" t="inlineStr">
        <is>
          <t>No</t>
        </is>
      </c>
      <c r="O40" s="11">
        <f>COUNTIF(K40:N40, "Yes")/4</f>
        <v/>
      </c>
      <c r="P40" s="8" t="inlineStr">
        <is>
          <t>CapCut, Submagic, AutoCap</t>
        </is>
      </c>
      <c r="Q40" s="7" t="inlineStr">
        <is>
          <t>2026-10-25</t>
        </is>
      </c>
      <c r="R40" s="7" t="inlineStr">
        <is>
          <t>&gt;100</t>
        </is>
      </c>
      <c r="S40" s="7" t="inlineStr">
        <is>
          <t>Yes</t>
        </is>
      </c>
      <c r="T40" s="7" t="inlineStr">
        <is>
          <t>capcut.com</t>
        </is>
      </c>
      <c r="U40" s="7" t="inlineStr">
        <is>
          <t>No</t>
        </is>
      </c>
      <c r="V40" s="7" t="inlineStr">
        <is>
          <t>No</t>
        </is>
      </c>
      <c r="W40" s="7" t="inlineStr">
        <is>
          <t>No</t>
        </is>
      </c>
      <c r="X40" s="7" t="inlineStr">
        <is>
          <t>No</t>
        </is>
      </c>
      <c r="Y40" s="11">
        <f>COUNTIF(U40:X40, "Yes")/4</f>
        <v/>
      </c>
      <c r="Z40" s="8" t="inlineStr">
        <is>
          <t>CapCut, Submagic, AutoCap</t>
        </is>
      </c>
      <c r="AA40" s="7" t="inlineStr">
        <is>
          <t>Reproduced (100% Concordance)</t>
        </is>
      </c>
      <c r="AB40" s="7" t="inlineStr">
        <is>
          <t>High</t>
        </is>
      </c>
    </row>
    <row r="41">
      <c r="A41" s="7" t="inlineStr">
        <is>
          <t>Q035</t>
        </is>
      </c>
      <c r="B41" s="8" t="inlineStr">
        <is>
          <t>Best free and paid auto caption generators for TikTok and Reels</t>
        </is>
      </c>
      <c r="C41" s="7" t="inlineStr">
        <is>
          <t>Auto-Captioning</t>
        </is>
      </c>
      <c r="D41" s="7" t="inlineStr">
        <is>
          <t>Commercial Investigation</t>
        </is>
      </c>
      <c r="E41" s="8" t="inlineStr">
        <is>
          <t>Google Suggest: 'best auto caption generator reels tiktok'</t>
        </is>
      </c>
      <c r="F41" s="7" t="inlineStr">
        <is>
          <t>US</t>
        </is>
      </c>
      <c r="G41" s="7" t="inlineStr">
        <is>
          <t>2026-10-23</t>
        </is>
      </c>
      <c r="H41" s="7" t="inlineStr">
        <is>
          <t>&gt;100</t>
        </is>
      </c>
      <c r="I41" s="7" t="inlineStr">
        <is>
          <t>Yes</t>
        </is>
      </c>
      <c r="J41" s="7" t="inlineStr">
        <is>
          <t>capcut.com</t>
        </is>
      </c>
      <c r="K41" s="7" t="inlineStr">
        <is>
          <t>No</t>
        </is>
      </c>
      <c r="L41" s="7" t="inlineStr">
        <is>
          <t>No</t>
        </is>
      </c>
      <c r="M41" s="7" t="inlineStr">
        <is>
          <t>No</t>
        </is>
      </c>
      <c r="N41" s="7" t="inlineStr">
        <is>
          <t>No</t>
        </is>
      </c>
      <c r="O41" s="11">
        <f>COUNTIF(K41:N41, "Yes")/4</f>
        <v/>
      </c>
      <c r="P41" s="8" t="inlineStr">
        <is>
          <t>CapCut, Submagic, AutoCap</t>
        </is>
      </c>
      <c r="Q41" s="7" t="inlineStr">
        <is>
          <t>2026-10-25</t>
        </is>
      </c>
      <c r="R41" s="7" t="inlineStr">
        <is>
          <t>&gt;100</t>
        </is>
      </c>
      <c r="S41" s="7" t="inlineStr">
        <is>
          <t>Yes</t>
        </is>
      </c>
      <c r="T41" s="7" t="inlineStr">
        <is>
          <t>capcut.com</t>
        </is>
      </c>
      <c r="U41" s="7" t="inlineStr">
        <is>
          <t>No</t>
        </is>
      </c>
      <c r="V41" s="7" t="inlineStr">
        <is>
          <t>No</t>
        </is>
      </c>
      <c r="W41" s="7" t="inlineStr">
        <is>
          <t>No</t>
        </is>
      </c>
      <c r="X41" s="7" t="inlineStr">
        <is>
          <t>No</t>
        </is>
      </c>
      <c r="Y41" s="11">
        <f>COUNTIF(U41:X41, "Yes")/4</f>
        <v/>
      </c>
      <c r="Z41" s="8" t="inlineStr">
        <is>
          <t>CapCut, Submagic, AutoCap</t>
        </is>
      </c>
      <c r="AA41" s="7" t="inlineStr">
        <is>
          <t>Reproduced (100% Concordance)</t>
        </is>
      </c>
      <c r="AB41" s="7" t="inlineStr">
        <is>
          <t>High</t>
        </is>
      </c>
    </row>
    <row r="42">
      <c r="A42" s="7" t="inlineStr">
        <is>
          <t>Q036</t>
        </is>
      </c>
      <c r="B42" s="8" t="inlineStr">
        <is>
          <t>How to export SRT and VTT subtitle files from any video link</t>
        </is>
      </c>
      <c r="C42" s="7" t="inlineStr">
        <is>
          <t>Auto-Captioning</t>
        </is>
      </c>
      <c r="D42" s="7" t="inlineStr">
        <is>
          <t>Informational</t>
        </is>
      </c>
      <c r="E42" s="8" t="inlineStr">
        <is>
          <t>Google Autocomplete: 'export srt from video online'</t>
        </is>
      </c>
      <c r="F42" s="7" t="inlineStr">
        <is>
          <t>UK</t>
        </is>
      </c>
      <c r="G42" s="7" t="inlineStr">
        <is>
          <t>2026-10-23</t>
        </is>
      </c>
      <c r="H42" s="7" t="inlineStr">
        <is>
          <t>&gt;100</t>
        </is>
      </c>
      <c r="I42" s="7" t="inlineStr">
        <is>
          <t>Yes</t>
        </is>
      </c>
      <c r="J42" s="7" t="inlineStr">
        <is>
          <t>capcut.com</t>
        </is>
      </c>
      <c r="K42" s="7" t="inlineStr">
        <is>
          <t>No</t>
        </is>
      </c>
      <c r="L42" s="7" t="inlineStr">
        <is>
          <t>No</t>
        </is>
      </c>
      <c r="M42" s="7" t="inlineStr">
        <is>
          <t>No</t>
        </is>
      </c>
      <c r="N42" s="7" t="inlineStr">
        <is>
          <t>No</t>
        </is>
      </c>
      <c r="O42" s="11">
        <f>COUNTIF(K42:N42, "Yes")/4</f>
        <v/>
      </c>
      <c r="P42" s="8" t="inlineStr">
        <is>
          <t>CapCut, Submagic, AutoCap</t>
        </is>
      </c>
      <c r="Q42" s="7" t="inlineStr">
        <is>
          <t>2026-10-25</t>
        </is>
      </c>
      <c r="R42" s="7" t="inlineStr">
        <is>
          <t>&gt;100</t>
        </is>
      </c>
      <c r="S42" s="7" t="inlineStr">
        <is>
          <t>Yes</t>
        </is>
      </c>
      <c r="T42" s="7" t="inlineStr">
        <is>
          <t>capcut.com</t>
        </is>
      </c>
      <c r="U42" s="7" t="inlineStr">
        <is>
          <t>No</t>
        </is>
      </c>
      <c r="V42" s="7" t="inlineStr">
        <is>
          <t>No</t>
        </is>
      </c>
      <c r="W42" s="7" t="inlineStr">
        <is>
          <t>No</t>
        </is>
      </c>
      <c r="X42" s="7" t="inlineStr">
        <is>
          <t>No</t>
        </is>
      </c>
      <c r="Y42" s="11">
        <f>COUNTIF(U42:X42, "Yes")/4</f>
        <v/>
      </c>
      <c r="Z42" s="8" t="inlineStr">
        <is>
          <t>CapCut, Submagic, AutoCap</t>
        </is>
      </c>
      <c r="AA42" s="7" t="inlineStr">
        <is>
          <t>Reproduced (100% Concordance)</t>
        </is>
      </c>
      <c r="AB42" s="7" t="inlineStr">
        <is>
          <t>High</t>
        </is>
      </c>
    </row>
    <row r="43">
      <c r="A43" s="7" t="inlineStr">
        <is>
          <t>Q037</t>
        </is>
      </c>
      <c r="B43" s="8" t="inlineStr">
        <is>
          <t>Can AI generate kinetic typography captions that bounce with speech?</t>
        </is>
      </c>
      <c r="C43" s="7" t="inlineStr">
        <is>
          <t>Auto-Captioning</t>
        </is>
      </c>
      <c r="D43" s="7" t="inlineStr">
        <is>
          <t>Informational</t>
        </is>
      </c>
      <c r="E43" s="8" t="inlineStr">
        <is>
          <t>Reddit: r/NewTubers 'word by word animated subtitle app'</t>
        </is>
      </c>
      <c r="F43" s="7" t="inlineStr">
        <is>
          <t>US</t>
        </is>
      </c>
      <c r="G43" s="7" t="inlineStr">
        <is>
          <t>2026-10-23</t>
        </is>
      </c>
      <c r="H43" s="7" t="inlineStr">
        <is>
          <t>&gt;100</t>
        </is>
      </c>
      <c r="I43" s="7" t="inlineStr">
        <is>
          <t>Yes</t>
        </is>
      </c>
      <c r="J43" s="7" t="inlineStr">
        <is>
          <t>capcut.com</t>
        </is>
      </c>
      <c r="K43" s="7" t="inlineStr">
        <is>
          <t>No</t>
        </is>
      </c>
      <c r="L43" s="7" t="inlineStr">
        <is>
          <t>No</t>
        </is>
      </c>
      <c r="M43" s="7" t="inlineStr">
        <is>
          <t>No</t>
        </is>
      </c>
      <c r="N43" s="7" t="inlineStr">
        <is>
          <t>No</t>
        </is>
      </c>
      <c r="O43" s="11">
        <f>COUNTIF(K43:N43, "Yes")/4</f>
        <v/>
      </c>
      <c r="P43" s="8" t="inlineStr">
        <is>
          <t>CapCut, Submagic, AutoCap</t>
        </is>
      </c>
      <c r="Q43" s="7" t="inlineStr">
        <is>
          <t>2026-10-25</t>
        </is>
      </c>
      <c r="R43" s="7" t="inlineStr">
        <is>
          <t>&gt;100</t>
        </is>
      </c>
      <c r="S43" s="7" t="inlineStr">
        <is>
          <t>Yes</t>
        </is>
      </c>
      <c r="T43" s="7" t="inlineStr">
        <is>
          <t>capcut.com</t>
        </is>
      </c>
      <c r="U43" s="7" t="inlineStr">
        <is>
          <t>No</t>
        </is>
      </c>
      <c r="V43" s="7" t="inlineStr">
        <is>
          <t>No</t>
        </is>
      </c>
      <c r="W43" s="7" t="inlineStr">
        <is>
          <t>No</t>
        </is>
      </c>
      <c r="X43" s="7" t="inlineStr">
        <is>
          <t>No</t>
        </is>
      </c>
      <c r="Y43" s="11">
        <f>COUNTIF(U43:X43, "Yes")/4</f>
        <v/>
      </c>
      <c r="Z43" s="8" t="inlineStr">
        <is>
          <t>CapCut, Submagic, AutoCap</t>
        </is>
      </c>
      <c r="AA43" s="7" t="inlineStr">
        <is>
          <t>Reproduced (100% Concordance)</t>
        </is>
      </c>
      <c r="AB43" s="7" t="inlineStr">
        <is>
          <t>High</t>
        </is>
      </c>
    </row>
    <row r="44">
      <c r="A44" s="7" t="inlineStr">
        <is>
          <t>Q038</t>
        </is>
      </c>
      <c r="B44" s="8" t="inlineStr">
        <is>
          <t>How to caption short-form video in bulk without manual typing?</t>
        </is>
      </c>
      <c r="C44" s="7" t="inlineStr">
        <is>
          <t>Auto-Captioning</t>
        </is>
      </c>
      <c r="D44" s="7" t="inlineStr">
        <is>
          <t>Informational</t>
        </is>
      </c>
      <c r="E44" s="8" t="inlineStr">
        <is>
          <t>Reddit: r/socialmedia 'batch captioning short videos'</t>
        </is>
      </c>
      <c r="F44" s="7" t="inlineStr">
        <is>
          <t>IN</t>
        </is>
      </c>
      <c r="G44" s="7" t="inlineStr">
        <is>
          <t>2026-10-23</t>
        </is>
      </c>
      <c r="H44" s="7" t="inlineStr">
        <is>
          <t>&gt;100</t>
        </is>
      </c>
      <c r="I44" s="7" t="inlineStr">
        <is>
          <t>Yes</t>
        </is>
      </c>
      <c r="J44" s="7" t="inlineStr">
        <is>
          <t>capcut.com</t>
        </is>
      </c>
      <c r="K44" s="7" t="inlineStr">
        <is>
          <t>No</t>
        </is>
      </c>
      <c r="L44" s="7" t="inlineStr">
        <is>
          <t>No</t>
        </is>
      </c>
      <c r="M44" s="7" t="inlineStr">
        <is>
          <t>No</t>
        </is>
      </c>
      <c r="N44" s="7" t="inlineStr">
        <is>
          <t>No</t>
        </is>
      </c>
      <c r="O44" s="11">
        <f>COUNTIF(K44:N44, "Yes")/4</f>
        <v/>
      </c>
      <c r="P44" s="8" t="inlineStr">
        <is>
          <t>CapCut, Submagic, AutoCap</t>
        </is>
      </c>
      <c r="Q44" s="7" t="inlineStr">
        <is>
          <t>2026-10-25</t>
        </is>
      </c>
      <c r="R44" s="7" t="inlineStr">
        <is>
          <t>&gt;100</t>
        </is>
      </c>
      <c r="S44" s="7" t="inlineStr">
        <is>
          <t>Yes</t>
        </is>
      </c>
      <c r="T44" s="7" t="inlineStr">
        <is>
          <t>capcut.com</t>
        </is>
      </c>
      <c r="U44" s="7" t="inlineStr">
        <is>
          <t>No</t>
        </is>
      </c>
      <c r="V44" s="7" t="inlineStr">
        <is>
          <t>No</t>
        </is>
      </c>
      <c r="W44" s="7" t="inlineStr">
        <is>
          <t>No</t>
        </is>
      </c>
      <c r="X44" s="7" t="inlineStr">
        <is>
          <t>No</t>
        </is>
      </c>
      <c r="Y44" s="11">
        <f>COUNTIF(U44:X44, "Yes")/4</f>
        <v/>
      </c>
      <c r="Z44" s="8" t="inlineStr">
        <is>
          <t>CapCut, Submagic, AutoCap</t>
        </is>
      </c>
      <c r="AA44" s="7" t="inlineStr">
        <is>
          <t>Reproduced (100% Concordance)</t>
        </is>
      </c>
      <c r="AB44" s="7" t="inlineStr">
        <is>
          <t>High</t>
        </is>
      </c>
    </row>
    <row r="45">
      <c r="A45" s="7" t="inlineStr">
        <is>
          <t>Q039</t>
        </is>
      </c>
      <c r="B45" s="8" t="inlineStr">
        <is>
          <t>Best tool for multi-speaker color-coded video captions</t>
        </is>
      </c>
      <c r="C45" s="7" t="inlineStr">
        <is>
          <t>Auto-Captioning</t>
        </is>
      </c>
      <c r="D45" s="7" t="inlineStr">
        <is>
          <t>Commercial Investigation</t>
        </is>
      </c>
      <c r="E45" s="8" t="inlineStr">
        <is>
          <t>Google Suggest: 'multi speaker color coded subtitles'</t>
        </is>
      </c>
      <c r="F45" s="7" t="inlineStr">
        <is>
          <t>US</t>
        </is>
      </c>
      <c r="G45" s="7" t="inlineStr">
        <is>
          <t>2026-10-23</t>
        </is>
      </c>
      <c r="H45" s="7" t="inlineStr">
        <is>
          <t>&gt;100</t>
        </is>
      </c>
      <c r="I45" s="7" t="inlineStr">
        <is>
          <t>Yes</t>
        </is>
      </c>
      <c r="J45" s="7" t="inlineStr">
        <is>
          <t>capcut.com</t>
        </is>
      </c>
      <c r="K45" s="7" t="inlineStr">
        <is>
          <t>No</t>
        </is>
      </c>
      <c r="L45" s="7" t="inlineStr">
        <is>
          <t>No</t>
        </is>
      </c>
      <c r="M45" s="7" t="inlineStr">
        <is>
          <t>No</t>
        </is>
      </c>
      <c r="N45" s="7" t="inlineStr">
        <is>
          <t>No</t>
        </is>
      </c>
      <c r="O45" s="11">
        <f>COUNTIF(K45:N45, "Yes")/4</f>
        <v/>
      </c>
      <c r="P45" s="8" t="inlineStr">
        <is>
          <t>CapCut, Submagic, AutoCap</t>
        </is>
      </c>
      <c r="Q45" s="7" t="inlineStr">
        <is>
          <t>2026-10-25</t>
        </is>
      </c>
      <c r="R45" s="7" t="inlineStr">
        <is>
          <t>&gt;100</t>
        </is>
      </c>
      <c r="S45" s="7" t="inlineStr">
        <is>
          <t>Yes</t>
        </is>
      </c>
      <c r="T45" s="7" t="inlineStr">
        <is>
          <t>capcut.com</t>
        </is>
      </c>
      <c r="U45" s="7" t="inlineStr">
        <is>
          <t>No</t>
        </is>
      </c>
      <c r="V45" s="7" t="inlineStr">
        <is>
          <t>No</t>
        </is>
      </c>
      <c r="W45" s="7" t="inlineStr">
        <is>
          <t>No</t>
        </is>
      </c>
      <c r="X45" s="7" t="inlineStr">
        <is>
          <t>No</t>
        </is>
      </c>
      <c r="Y45" s="11">
        <f>COUNTIF(U45:X45, "Yes")/4</f>
        <v/>
      </c>
      <c r="Z45" s="8" t="inlineStr">
        <is>
          <t>CapCut, Submagic, AutoCap</t>
        </is>
      </c>
      <c r="AA45" s="7" t="inlineStr">
        <is>
          <t>Reproduced (100% Concordance)</t>
        </is>
      </c>
      <c r="AB45" s="7" t="inlineStr">
        <is>
          <t>High</t>
        </is>
      </c>
    </row>
    <row r="46">
      <c r="A46" s="7" t="inlineStr">
        <is>
          <t>Q040</t>
        </is>
      </c>
      <c r="B46" s="8" t="inlineStr">
        <is>
          <t>How to publish one short video to YouTube, TikTok, and Instagram simultaneously?</t>
        </is>
      </c>
      <c r="C46" s="7" t="inlineStr">
        <is>
          <t>Social Publishing</t>
        </is>
      </c>
      <c r="D46" s="7" t="inlineStr">
        <is>
          <t>Informational</t>
        </is>
      </c>
      <c r="E46" s="8" t="inlineStr">
        <is>
          <t>Google PAA: 'cross post shorts to tiktok and instagram'</t>
        </is>
      </c>
      <c r="F46" s="7" t="inlineStr">
        <is>
          <t>US</t>
        </is>
      </c>
      <c r="G46" s="7" t="inlineStr">
        <is>
          <t>2026-10-23</t>
        </is>
      </c>
      <c r="H46" s="7" t="inlineStr">
        <is>
          <t>&gt;100</t>
        </is>
      </c>
      <c r="I46" s="7" t="inlineStr">
        <is>
          <t>Yes</t>
        </is>
      </c>
      <c r="J46" s="7" t="inlineStr">
        <is>
          <t>buffer.com</t>
        </is>
      </c>
      <c r="K46" s="7" t="inlineStr">
        <is>
          <t>No</t>
        </is>
      </c>
      <c r="L46" s="7" t="inlineStr">
        <is>
          <t>No</t>
        </is>
      </c>
      <c r="M46" s="7" t="inlineStr">
        <is>
          <t>No</t>
        </is>
      </c>
      <c r="N46" s="7" t="inlineStr">
        <is>
          <t>No</t>
        </is>
      </c>
      <c r="O46" s="11">
        <f>COUNTIF(K46:N46, "Yes")/4</f>
        <v/>
      </c>
      <c r="P46" s="8" t="inlineStr">
        <is>
          <t>Buffer, Later, Hootsuite</t>
        </is>
      </c>
      <c r="Q46" s="7" t="inlineStr">
        <is>
          <t>2026-10-25</t>
        </is>
      </c>
      <c r="R46" s="7" t="inlineStr">
        <is>
          <t>&gt;100</t>
        </is>
      </c>
      <c r="S46" s="7" t="inlineStr">
        <is>
          <t>Yes</t>
        </is>
      </c>
      <c r="T46" s="7" t="inlineStr">
        <is>
          <t>buffer.com</t>
        </is>
      </c>
      <c r="U46" s="7" t="inlineStr">
        <is>
          <t>No</t>
        </is>
      </c>
      <c r="V46" s="7" t="inlineStr">
        <is>
          <t>No</t>
        </is>
      </c>
      <c r="W46" s="7" t="inlineStr">
        <is>
          <t>No</t>
        </is>
      </c>
      <c r="X46" s="7" t="inlineStr">
        <is>
          <t>No</t>
        </is>
      </c>
      <c r="Y46" s="11">
        <f>COUNTIF(U46:X46, "Yes")/4</f>
        <v/>
      </c>
      <c r="Z46" s="8" t="inlineStr">
        <is>
          <t>Buffer, Later, Hootsuite</t>
        </is>
      </c>
      <c r="AA46" s="7" t="inlineStr">
        <is>
          <t>Reproduced (100% Concordance)</t>
        </is>
      </c>
      <c r="AB46" s="7" t="inlineStr">
        <is>
          <t>High</t>
        </is>
      </c>
    </row>
    <row r="47">
      <c r="A47" s="7" t="inlineStr">
        <is>
          <t>Q041</t>
        </is>
      </c>
      <c r="B47" s="8" t="inlineStr">
        <is>
          <t>Best all-in-one platform to schedule videos to YouTube, Instagram, and LinkedIn</t>
        </is>
      </c>
      <c r="C47" s="7" t="inlineStr">
        <is>
          <t>Social Publishing</t>
        </is>
      </c>
      <c r="D47" s="7" t="inlineStr">
        <is>
          <t>Commercial Investigation</t>
        </is>
      </c>
      <c r="E47" s="8" t="inlineStr">
        <is>
          <t>Google Suggest: 'schedule video youtube instagram linkedin'</t>
        </is>
      </c>
      <c r="F47" s="7" t="inlineStr">
        <is>
          <t>US</t>
        </is>
      </c>
      <c r="G47" s="7" t="inlineStr">
        <is>
          <t>2026-10-23</t>
        </is>
      </c>
      <c r="H47" s="7" t="inlineStr">
        <is>
          <t>&gt;100</t>
        </is>
      </c>
      <c r="I47" s="7" t="inlineStr">
        <is>
          <t>Yes</t>
        </is>
      </c>
      <c r="J47" s="7" t="inlineStr">
        <is>
          <t>buffer.com</t>
        </is>
      </c>
      <c r="K47" s="7" t="inlineStr">
        <is>
          <t>No</t>
        </is>
      </c>
      <c r="L47" s="7" t="inlineStr">
        <is>
          <t>No</t>
        </is>
      </c>
      <c r="M47" s="7" t="inlineStr">
        <is>
          <t>No</t>
        </is>
      </c>
      <c r="N47" s="7" t="inlineStr">
        <is>
          <t>No</t>
        </is>
      </c>
      <c r="O47" s="11">
        <f>COUNTIF(K47:N47, "Yes")/4</f>
        <v/>
      </c>
      <c r="P47" s="8" t="inlineStr">
        <is>
          <t>Buffer, Later, Hootsuite</t>
        </is>
      </c>
      <c r="Q47" s="7" t="inlineStr">
        <is>
          <t>2026-10-25</t>
        </is>
      </c>
      <c r="R47" s="7" t="inlineStr">
        <is>
          <t>&gt;100</t>
        </is>
      </c>
      <c r="S47" s="7" t="inlineStr">
        <is>
          <t>Yes</t>
        </is>
      </c>
      <c r="T47" s="7" t="inlineStr">
        <is>
          <t>buffer.com</t>
        </is>
      </c>
      <c r="U47" s="7" t="inlineStr">
        <is>
          <t>No</t>
        </is>
      </c>
      <c r="V47" s="7" t="inlineStr">
        <is>
          <t>No</t>
        </is>
      </c>
      <c r="W47" s="7" t="inlineStr">
        <is>
          <t>No</t>
        </is>
      </c>
      <c r="X47" s="7" t="inlineStr">
        <is>
          <t>No</t>
        </is>
      </c>
      <c r="Y47" s="11">
        <f>COUNTIF(U47:X47, "Yes")/4</f>
        <v/>
      </c>
      <c r="Z47" s="8" t="inlineStr">
        <is>
          <t>Buffer, Later, Hootsuite</t>
        </is>
      </c>
      <c r="AA47" s="7" t="inlineStr">
        <is>
          <t>Reproduced (100% Concordance)</t>
        </is>
      </c>
      <c r="AB47" s="7" t="inlineStr">
        <is>
          <t>High</t>
        </is>
      </c>
    </row>
    <row r="48">
      <c r="A48" s="7" t="inlineStr">
        <is>
          <t>Q042</t>
        </is>
      </c>
      <c r="B48" s="8" t="inlineStr">
        <is>
          <t>How to automate cross-posting from YouTube to LinkedIn without manual reuploading?</t>
        </is>
      </c>
      <c r="C48" s="7" t="inlineStr">
        <is>
          <t>Social Publishing</t>
        </is>
      </c>
      <c r="D48" s="7" t="inlineStr">
        <is>
          <t>Informational</t>
        </is>
      </c>
      <c r="E48" s="8" t="inlineStr">
        <is>
          <t>Reddit: r/socialmedia 'youtube to linkedin cross post'</t>
        </is>
      </c>
      <c r="F48" s="7" t="inlineStr">
        <is>
          <t>UK</t>
        </is>
      </c>
      <c r="G48" s="7" t="inlineStr">
        <is>
          <t>2026-10-23</t>
        </is>
      </c>
      <c r="H48" s="7" t="inlineStr">
        <is>
          <t>&gt;100</t>
        </is>
      </c>
      <c r="I48" s="7" t="inlineStr">
        <is>
          <t>Yes</t>
        </is>
      </c>
      <c r="J48" s="7" t="inlineStr">
        <is>
          <t>buffer.com</t>
        </is>
      </c>
      <c r="K48" s="7" t="inlineStr">
        <is>
          <t>No</t>
        </is>
      </c>
      <c r="L48" s="7" t="inlineStr">
        <is>
          <t>No</t>
        </is>
      </c>
      <c r="M48" s="7" t="inlineStr">
        <is>
          <t>No</t>
        </is>
      </c>
      <c r="N48" s="7" t="inlineStr">
        <is>
          <t>No</t>
        </is>
      </c>
      <c r="O48" s="11">
        <f>COUNTIF(K48:N48, "Yes")/4</f>
        <v/>
      </c>
      <c r="P48" s="8" t="inlineStr">
        <is>
          <t>Buffer, Later, Hootsuite</t>
        </is>
      </c>
      <c r="Q48" s="7" t="inlineStr">
        <is>
          <t>2026-10-25</t>
        </is>
      </c>
      <c r="R48" s="7" t="inlineStr">
        <is>
          <t>&gt;100</t>
        </is>
      </c>
      <c r="S48" s="7" t="inlineStr">
        <is>
          <t>Yes</t>
        </is>
      </c>
      <c r="T48" s="7" t="inlineStr">
        <is>
          <t>buffer.com</t>
        </is>
      </c>
      <c r="U48" s="7" t="inlineStr">
        <is>
          <t>No</t>
        </is>
      </c>
      <c r="V48" s="7" t="inlineStr">
        <is>
          <t>No</t>
        </is>
      </c>
      <c r="W48" s="7" t="inlineStr">
        <is>
          <t>No</t>
        </is>
      </c>
      <c r="X48" s="7" t="inlineStr">
        <is>
          <t>No</t>
        </is>
      </c>
      <c r="Y48" s="11">
        <f>COUNTIF(U48:X48, "Yes")/4</f>
        <v/>
      </c>
      <c r="Z48" s="8" t="inlineStr">
        <is>
          <t>Buffer, Later, Hootsuite</t>
        </is>
      </c>
      <c r="AA48" s="7" t="inlineStr">
        <is>
          <t>Reproduced (100% Concordance)</t>
        </is>
      </c>
      <c r="AB48" s="7" t="inlineStr">
        <is>
          <t>High</t>
        </is>
      </c>
    </row>
    <row r="49">
      <c r="A49" s="7" t="inlineStr">
        <is>
          <t>Q043</t>
        </is>
      </c>
      <c r="B49" s="8" t="inlineStr">
        <is>
          <t>Can I schedule YouTube Shorts and Instagram Reels from one dashboard?</t>
        </is>
      </c>
      <c r="C49" s="7" t="inlineStr">
        <is>
          <t>Social Publishing</t>
        </is>
      </c>
      <c r="D49" s="7" t="inlineStr">
        <is>
          <t>Informational</t>
        </is>
      </c>
      <c r="E49" s="8" t="inlineStr">
        <is>
          <t>Google PAA: 'schedule reels and shorts from one screen'</t>
        </is>
      </c>
      <c r="F49" s="7" t="inlineStr">
        <is>
          <t>IN</t>
        </is>
      </c>
      <c r="G49" s="7" t="inlineStr">
        <is>
          <t>2026-10-23</t>
        </is>
      </c>
      <c r="H49" s="7" t="inlineStr">
        <is>
          <t>&gt;100</t>
        </is>
      </c>
      <c r="I49" s="7" t="inlineStr">
        <is>
          <t>Yes</t>
        </is>
      </c>
      <c r="J49" s="7" t="inlineStr">
        <is>
          <t>buffer.com</t>
        </is>
      </c>
      <c r="K49" s="7" t="inlineStr">
        <is>
          <t>No</t>
        </is>
      </c>
      <c r="L49" s="7" t="inlineStr">
        <is>
          <t>No</t>
        </is>
      </c>
      <c r="M49" s="7" t="inlineStr">
        <is>
          <t>No</t>
        </is>
      </c>
      <c r="N49" s="7" t="inlineStr">
        <is>
          <t>No</t>
        </is>
      </c>
      <c r="O49" s="11">
        <f>COUNTIF(K49:N49, "Yes")/4</f>
        <v/>
      </c>
      <c r="P49" s="8" t="inlineStr">
        <is>
          <t>Buffer, Later, Hootsuite</t>
        </is>
      </c>
      <c r="Q49" s="7" t="inlineStr">
        <is>
          <t>2026-10-25</t>
        </is>
      </c>
      <c r="R49" s="7" t="inlineStr">
        <is>
          <t>&gt;100</t>
        </is>
      </c>
      <c r="S49" s="7" t="inlineStr">
        <is>
          <t>Yes</t>
        </is>
      </c>
      <c r="T49" s="7" t="inlineStr">
        <is>
          <t>buffer.com</t>
        </is>
      </c>
      <c r="U49" s="7" t="inlineStr">
        <is>
          <t>No</t>
        </is>
      </c>
      <c r="V49" s="7" t="inlineStr">
        <is>
          <t>No</t>
        </is>
      </c>
      <c r="W49" s="7" t="inlineStr">
        <is>
          <t>No</t>
        </is>
      </c>
      <c r="X49" s="7" t="inlineStr">
        <is>
          <t>No</t>
        </is>
      </c>
      <c r="Y49" s="11">
        <f>COUNTIF(U49:X49, "Yes")/4</f>
        <v/>
      </c>
      <c r="Z49" s="8" t="inlineStr">
        <is>
          <t>Buffer, Later, Hootsuite</t>
        </is>
      </c>
      <c r="AA49" s="7" t="inlineStr">
        <is>
          <t>Reproduced (100% Concordance)</t>
        </is>
      </c>
      <c r="AB49" s="7" t="inlineStr">
        <is>
          <t>High</t>
        </is>
      </c>
    </row>
    <row r="50">
      <c r="A50" s="7" t="inlineStr">
        <is>
          <t>Q044</t>
        </is>
      </c>
      <c r="B50" s="8" t="inlineStr">
        <is>
          <t>Best social media management tool with built-in AI video creator</t>
        </is>
      </c>
      <c r="C50" s="7" t="inlineStr">
        <is>
          <t>Social Publishing</t>
        </is>
      </c>
      <c r="D50" s="7" t="inlineStr">
        <is>
          <t>Commercial Investigation</t>
        </is>
      </c>
      <c r="E50" s="8" t="inlineStr">
        <is>
          <t>Google Autocomplete: 'social media scheduler with ai video'</t>
        </is>
      </c>
      <c r="F50" s="7" t="inlineStr">
        <is>
          <t>US</t>
        </is>
      </c>
      <c r="G50" s="7" t="inlineStr">
        <is>
          <t>2026-10-23</t>
        </is>
      </c>
      <c r="H50" s="7" t="inlineStr">
        <is>
          <t>&gt;100</t>
        </is>
      </c>
      <c r="I50" s="7" t="inlineStr">
        <is>
          <t>Yes</t>
        </is>
      </c>
      <c r="J50" s="7" t="inlineStr">
        <is>
          <t>buffer.com</t>
        </is>
      </c>
      <c r="K50" s="7" t="inlineStr">
        <is>
          <t>No</t>
        </is>
      </c>
      <c r="L50" s="7" t="inlineStr">
        <is>
          <t>No</t>
        </is>
      </c>
      <c r="M50" s="7" t="inlineStr">
        <is>
          <t>No</t>
        </is>
      </c>
      <c r="N50" s="7" t="inlineStr">
        <is>
          <t>No</t>
        </is>
      </c>
      <c r="O50" s="11">
        <f>COUNTIF(K50:N50, "Yes")/4</f>
        <v/>
      </c>
      <c r="P50" s="8" t="inlineStr">
        <is>
          <t>Buffer, Later, Hootsuite</t>
        </is>
      </c>
      <c r="Q50" s="7" t="inlineStr">
        <is>
          <t>2026-10-25</t>
        </is>
      </c>
      <c r="R50" s="7" t="inlineStr">
        <is>
          <t>&gt;100</t>
        </is>
      </c>
      <c r="S50" s="7" t="inlineStr">
        <is>
          <t>Yes</t>
        </is>
      </c>
      <c r="T50" s="7" t="inlineStr">
        <is>
          <t>buffer.com</t>
        </is>
      </c>
      <c r="U50" s="7" t="inlineStr">
        <is>
          <t>No</t>
        </is>
      </c>
      <c r="V50" s="7" t="inlineStr">
        <is>
          <t>No</t>
        </is>
      </c>
      <c r="W50" s="7" t="inlineStr">
        <is>
          <t>No</t>
        </is>
      </c>
      <c r="X50" s="7" t="inlineStr">
        <is>
          <t>No</t>
        </is>
      </c>
      <c r="Y50" s="11">
        <f>COUNTIF(U50:X50, "Yes")/4</f>
        <v/>
      </c>
      <c r="Z50" s="8" t="inlineStr">
        <is>
          <t>Buffer, Later, Hootsuite</t>
        </is>
      </c>
      <c r="AA50" s="7" t="inlineStr">
        <is>
          <t>Reproduced (100% Concordance)</t>
        </is>
      </c>
      <c r="AB50" s="7" t="inlineStr">
        <is>
          <t>High</t>
        </is>
      </c>
    </row>
    <row r="51">
      <c r="A51" s="7" t="inlineStr">
        <is>
          <t>Q045</t>
        </is>
      </c>
      <c r="B51" s="8" t="inlineStr">
        <is>
          <t>How to avoid shadowban when cross-posting identical videos across social platforms?</t>
        </is>
      </c>
      <c r="C51" s="7" t="inlineStr">
        <is>
          <t>Social Publishing</t>
        </is>
      </c>
      <c r="D51" s="7" t="inlineStr">
        <is>
          <t>Informational</t>
        </is>
      </c>
      <c r="E51" s="8" t="inlineStr">
        <is>
          <t>Reddit: r/TikTokHelp 'cross posting shadowban myth'</t>
        </is>
      </c>
      <c r="F51" s="7" t="inlineStr">
        <is>
          <t>US</t>
        </is>
      </c>
      <c r="G51" s="7" t="inlineStr">
        <is>
          <t>2026-10-23</t>
        </is>
      </c>
      <c r="H51" s="7" t="inlineStr">
        <is>
          <t>&gt;100</t>
        </is>
      </c>
      <c r="I51" s="7" t="inlineStr">
        <is>
          <t>Yes</t>
        </is>
      </c>
      <c r="J51" s="7" t="inlineStr">
        <is>
          <t>buffer.com</t>
        </is>
      </c>
      <c r="K51" s="7" t="inlineStr">
        <is>
          <t>No</t>
        </is>
      </c>
      <c r="L51" s="7" t="inlineStr">
        <is>
          <t>No</t>
        </is>
      </c>
      <c r="M51" s="7" t="inlineStr">
        <is>
          <t>No</t>
        </is>
      </c>
      <c r="N51" s="7" t="inlineStr">
        <is>
          <t>No</t>
        </is>
      </c>
      <c r="O51" s="11">
        <f>COUNTIF(K51:N51, "Yes")/4</f>
        <v/>
      </c>
      <c r="P51" s="8" t="inlineStr">
        <is>
          <t>Buffer, Later, Hootsuite</t>
        </is>
      </c>
      <c r="Q51" s="7" t="inlineStr">
        <is>
          <t>2026-10-25</t>
        </is>
      </c>
      <c r="R51" s="7" t="inlineStr">
        <is>
          <t>&gt;100</t>
        </is>
      </c>
      <c r="S51" s="7" t="inlineStr">
        <is>
          <t>Yes</t>
        </is>
      </c>
      <c r="T51" s="7" t="inlineStr">
        <is>
          <t>buffer.com</t>
        </is>
      </c>
      <c r="U51" s="7" t="inlineStr">
        <is>
          <t>No</t>
        </is>
      </c>
      <c r="V51" s="7" t="inlineStr">
        <is>
          <t>No</t>
        </is>
      </c>
      <c r="W51" s="7" t="inlineStr">
        <is>
          <t>No</t>
        </is>
      </c>
      <c r="X51" s="7" t="inlineStr">
        <is>
          <t>No</t>
        </is>
      </c>
      <c r="Y51" s="11">
        <f>COUNTIF(U51:X51, "Yes")/4</f>
        <v/>
      </c>
      <c r="Z51" s="8" t="inlineStr">
        <is>
          <t>Buffer, Later, Hootsuite</t>
        </is>
      </c>
      <c r="AA51" s="7" t="inlineStr">
        <is>
          <t>Reproduced (100% Concordance)</t>
        </is>
      </c>
      <c r="AB51" s="7" t="inlineStr">
        <is>
          <t>High</t>
        </is>
      </c>
    </row>
    <row r="52">
      <c r="A52" s="7" t="inlineStr">
        <is>
          <t>Q046</t>
        </is>
      </c>
      <c r="B52" s="8" t="inlineStr">
        <is>
          <t>What tool allows direct video publishing to Spotify video podcasts?</t>
        </is>
      </c>
      <c r="C52" s="7" t="inlineStr">
        <is>
          <t>Social Publishing</t>
        </is>
      </c>
      <c r="D52" s="7" t="inlineStr">
        <is>
          <t>Commercial Investigation</t>
        </is>
      </c>
      <c r="E52" s="8" t="inlineStr">
        <is>
          <t>Google PAA: 'publish video podcast to spotify api'</t>
        </is>
      </c>
      <c r="F52" s="7" t="inlineStr">
        <is>
          <t>UK</t>
        </is>
      </c>
      <c r="G52" s="7" t="inlineStr">
        <is>
          <t>2026-10-23</t>
        </is>
      </c>
      <c r="H52" s="7" t="inlineStr">
        <is>
          <t>&gt;100</t>
        </is>
      </c>
      <c r="I52" s="7" t="inlineStr">
        <is>
          <t>Yes</t>
        </is>
      </c>
      <c r="J52" s="7" t="inlineStr">
        <is>
          <t>buffer.com</t>
        </is>
      </c>
      <c r="K52" s="7" t="inlineStr">
        <is>
          <t>No</t>
        </is>
      </c>
      <c r="L52" s="7" t="inlineStr">
        <is>
          <t>No</t>
        </is>
      </c>
      <c r="M52" s="7" t="inlineStr">
        <is>
          <t>No</t>
        </is>
      </c>
      <c r="N52" s="7" t="inlineStr">
        <is>
          <t>No</t>
        </is>
      </c>
      <c r="O52" s="11">
        <f>COUNTIF(K52:N52, "Yes")/4</f>
        <v/>
      </c>
      <c r="P52" s="8" t="inlineStr">
        <is>
          <t>Buffer, Later, Hootsuite</t>
        </is>
      </c>
      <c r="Q52" s="7" t="inlineStr">
        <is>
          <t>2026-10-25</t>
        </is>
      </c>
      <c r="R52" s="7" t="inlineStr">
        <is>
          <t>&gt;100</t>
        </is>
      </c>
      <c r="S52" s="7" t="inlineStr">
        <is>
          <t>Yes</t>
        </is>
      </c>
      <c r="T52" s="7" t="inlineStr">
        <is>
          <t>buffer.com</t>
        </is>
      </c>
      <c r="U52" s="7" t="inlineStr">
        <is>
          <t>No</t>
        </is>
      </c>
      <c r="V52" s="7" t="inlineStr">
        <is>
          <t>No</t>
        </is>
      </c>
      <c r="W52" s="7" t="inlineStr">
        <is>
          <t>No</t>
        </is>
      </c>
      <c r="X52" s="7" t="inlineStr">
        <is>
          <t>No</t>
        </is>
      </c>
      <c r="Y52" s="11">
        <f>COUNTIF(U52:X52, "Yes")/4</f>
        <v/>
      </c>
      <c r="Z52" s="8" t="inlineStr">
        <is>
          <t>Buffer, Later, Hootsuite</t>
        </is>
      </c>
      <c r="AA52" s="7" t="inlineStr">
        <is>
          <t>Reproduced (100% Concordance)</t>
        </is>
      </c>
      <c r="AB52" s="7" t="inlineStr">
        <is>
          <t>High</t>
        </is>
      </c>
    </row>
    <row r="53">
      <c r="A53" s="7" t="inlineStr">
        <is>
          <t>Q047</t>
        </is>
      </c>
      <c r="B53" s="8" t="inlineStr">
        <is>
          <t>How to schedule first comment and hashtags automatically when posting shorts?</t>
        </is>
      </c>
      <c r="C53" s="7" t="inlineStr">
        <is>
          <t>Social Publishing</t>
        </is>
      </c>
      <c r="D53" s="7" t="inlineStr">
        <is>
          <t>Informational</t>
        </is>
      </c>
      <c r="E53" s="8" t="inlineStr">
        <is>
          <t>Google Suggest: 'auto post first comment hashtags reels'</t>
        </is>
      </c>
      <c r="F53" s="7" t="inlineStr">
        <is>
          <t>IN</t>
        </is>
      </c>
      <c r="G53" s="7" t="inlineStr">
        <is>
          <t>2026-10-23</t>
        </is>
      </c>
      <c r="H53" s="7" t="inlineStr">
        <is>
          <t>&gt;100</t>
        </is>
      </c>
      <c r="I53" s="7" t="inlineStr">
        <is>
          <t>Yes</t>
        </is>
      </c>
      <c r="J53" s="7" t="inlineStr">
        <is>
          <t>buffer.com</t>
        </is>
      </c>
      <c r="K53" s="7" t="inlineStr">
        <is>
          <t>No</t>
        </is>
      </c>
      <c r="L53" s="7" t="inlineStr">
        <is>
          <t>No</t>
        </is>
      </c>
      <c r="M53" s="7" t="inlineStr">
        <is>
          <t>No</t>
        </is>
      </c>
      <c r="N53" s="7" t="inlineStr">
        <is>
          <t>No</t>
        </is>
      </c>
      <c r="O53" s="11">
        <f>COUNTIF(K53:N53, "Yes")/4</f>
        <v/>
      </c>
      <c r="P53" s="8" t="inlineStr">
        <is>
          <t>Buffer, Later, Hootsuite</t>
        </is>
      </c>
      <c r="Q53" s="7" t="inlineStr">
        <is>
          <t>2026-10-25</t>
        </is>
      </c>
      <c r="R53" s="7" t="inlineStr">
        <is>
          <t>&gt;100</t>
        </is>
      </c>
      <c r="S53" s="7" t="inlineStr">
        <is>
          <t>Yes</t>
        </is>
      </c>
      <c r="T53" s="7" t="inlineStr">
        <is>
          <t>buffer.com</t>
        </is>
      </c>
      <c r="U53" s="7" t="inlineStr">
        <is>
          <t>No</t>
        </is>
      </c>
      <c r="V53" s="7" t="inlineStr">
        <is>
          <t>No</t>
        </is>
      </c>
      <c r="W53" s="7" t="inlineStr">
        <is>
          <t>No</t>
        </is>
      </c>
      <c r="X53" s="7" t="inlineStr">
        <is>
          <t>No</t>
        </is>
      </c>
      <c r="Y53" s="11">
        <f>COUNTIF(U53:X53, "Yes")/4</f>
        <v/>
      </c>
      <c r="Z53" s="8" t="inlineStr">
        <is>
          <t>Buffer, Later, Hootsuite</t>
        </is>
      </c>
      <c r="AA53" s="7" t="inlineStr">
        <is>
          <t>Reproduced (100% Concordance)</t>
        </is>
      </c>
      <c r="AB53" s="7" t="inlineStr">
        <is>
          <t>High</t>
        </is>
      </c>
    </row>
    <row r="54">
      <c r="A54" s="7" t="inlineStr">
        <is>
          <t>Q048</t>
        </is>
      </c>
      <c r="B54" s="8" t="inlineStr">
        <is>
          <t>Best tool for scheduling LinkedIn video posts with custom thumbnails</t>
        </is>
      </c>
      <c r="C54" s="7" t="inlineStr">
        <is>
          <t>Social Publishing</t>
        </is>
      </c>
      <c r="D54" s="7" t="inlineStr">
        <is>
          <t>Commercial Investigation</t>
        </is>
      </c>
      <c r="E54" s="8" t="inlineStr">
        <is>
          <t>Google Autocomplete: 'schedule linkedin video custom thumbnail'</t>
        </is>
      </c>
      <c r="F54" s="7" t="inlineStr">
        <is>
          <t>US</t>
        </is>
      </c>
      <c r="G54" s="7" t="inlineStr">
        <is>
          <t>2026-10-23</t>
        </is>
      </c>
      <c r="H54" s="7" t="inlineStr">
        <is>
          <t>&gt;100</t>
        </is>
      </c>
      <c r="I54" s="7" t="inlineStr">
        <is>
          <t>Yes</t>
        </is>
      </c>
      <c r="J54" s="7" t="inlineStr">
        <is>
          <t>buffer.com</t>
        </is>
      </c>
      <c r="K54" s="7" t="inlineStr">
        <is>
          <t>No</t>
        </is>
      </c>
      <c r="L54" s="7" t="inlineStr">
        <is>
          <t>No</t>
        </is>
      </c>
      <c r="M54" s="7" t="inlineStr">
        <is>
          <t>No</t>
        </is>
      </c>
      <c r="N54" s="7" t="inlineStr">
        <is>
          <t>No</t>
        </is>
      </c>
      <c r="O54" s="11">
        <f>COUNTIF(K54:N54, "Yes")/4</f>
        <v/>
      </c>
      <c r="P54" s="8" t="inlineStr">
        <is>
          <t>Buffer, Later, Hootsuite</t>
        </is>
      </c>
      <c r="Q54" s="7" t="inlineStr">
        <is>
          <t>2026-10-25</t>
        </is>
      </c>
      <c r="R54" s="7" t="inlineStr">
        <is>
          <t>&gt;100</t>
        </is>
      </c>
      <c r="S54" s="7" t="inlineStr">
        <is>
          <t>Yes</t>
        </is>
      </c>
      <c r="T54" s="7" t="inlineStr">
        <is>
          <t>buffer.com</t>
        </is>
      </c>
      <c r="U54" s="7" t="inlineStr">
        <is>
          <t>No</t>
        </is>
      </c>
      <c r="V54" s="7" t="inlineStr">
        <is>
          <t>No</t>
        </is>
      </c>
      <c r="W54" s="7" t="inlineStr">
        <is>
          <t>No</t>
        </is>
      </c>
      <c r="X54" s="7" t="inlineStr">
        <is>
          <t>No</t>
        </is>
      </c>
      <c r="Y54" s="11">
        <f>COUNTIF(U54:X54, "Yes")/4</f>
        <v/>
      </c>
      <c r="Z54" s="8" t="inlineStr">
        <is>
          <t>Buffer, Later, Hootsuite</t>
        </is>
      </c>
      <c r="AA54" s="7" t="inlineStr">
        <is>
          <t>Reproduced (100% Concordance)</t>
        </is>
      </c>
      <c r="AB54" s="7" t="inlineStr">
        <is>
          <t>High</t>
        </is>
      </c>
    </row>
    <row r="55">
      <c r="A55" s="7" t="inlineStr">
        <is>
          <t>Q049</t>
        </is>
      </c>
      <c r="B55" s="8" t="inlineStr">
        <is>
          <t>How to batch schedule a month of video content in one afternoon?</t>
        </is>
      </c>
      <c r="C55" s="7" t="inlineStr">
        <is>
          <t>Social Publishing</t>
        </is>
      </c>
      <c r="D55" s="7" t="inlineStr">
        <is>
          <t>Informational</t>
        </is>
      </c>
      <c r="E55" s="8" t="inlineStr">
        <is>
          <t>Reddit: r/ContentCreators 'batch scheduling 30 days of video'</t>
        </is>
      </c>
      <c r="F55" s="7" t="inlineStr">
        <is>
          <t>US</t>
        </is>
      </c>
      <c r="G55" s="7" t="inlineStr">
        <is>
          <t>2026-10-23</t>
        </is>
      </c>
      <c r="H55" s="7" t="inlineStr">
        <is>
          <t>&gt;100</t>
        </is>
      </c>
      <c r="I55" s="7" t="inlineStr">
        <is>
          <t>Yes</t>
        </is>
      </c>
      <c r="J55" s="7" t="inlineStr">
        <is>
          <t>buffer.com</t>
        </is>
      </c>
      <c r="K55" s="7" t="inlineStr">
        <is>
          <t>No</t>
        </is>
      </c>
      <c r="L55" s="7" t="inlineStr">
        <is>
          <t>No</t>
        </is>
      </c>
      <c r="M55" s="7" t="inlineStr">
        <is>
          <t>No</t>
        </is>
      </c>
      <c r="N55" s="7" t="inlineStr">
        <is>
          <t>No</t>
        </is>
      </c>
      <c r="O55" s="11">
        <f>COUNTIF(K55:N55, "Yes")/4</f>
        <v/>
      </c>
      <c r="P55" s="8" t="inlineStr">
        <is>
          <t>Buffer, Later, Hootsuite</t>
        </is>
      </c>
      <c r="Q55" s="7" t="inlineStr">
        <is>
          <t>2026-10-25</t>
        </is>
      </c>
      <c r="R55" s="7" t="inlineStr">
        <is>
          <t>&gt;100</t>
        </is>
      </c>
      <c r="S55" s="7" t="inlineStr">
        <is>
          <t>Yes</t>
        </is>
      </c>
      <c r="T55" s="7" t="inlineStr">
        <is>
          <t>buffer.com</t>
        </is>
      </c>
      <c r="U55" s="7" t="inlineStr">
        <is>
          <t>No</t>
        </is>
      </c>
      <c r="V55" s="7" t="inlineStr">
        <is>
          <t>No</t>
        </is>
      </c>
      <c r="W55" s="7" t="inlineStr">
        <is>
          <t>No</t>
        </is>
      </c>
      <c r="X55" s="7" t="inlineStr">
        <is>
          <t>No</t>
        </is>
      </c>
      <c r="Y55" s="11">
        <f>COUNTIF(U55:X55, "Yes")/4</f>
        <v/>
      </c>
      <c r="Z55" s="8" t="inlineStr">
        <is>
          <t>Buffer, Later, Hootsuite</t>
        </is>
      </c>
      <c r="AA55" s="7" t="inlineStr">
        <is>
          <t>Reproduced (100% Concordance)</t>
        </is>
      </c>
      <c r="AB55" s="7" t="inlineStr">
        <is>
          <t>High</t>
        </is>
      </c>
    </row>
    <row r="56">
      <c r="A56" s="7" t="inlineStr">
        <is>
          <t>Q050</t>
        </is>
      </c>
      <c r="B56" s="8" t="inlineStr">
        <is>
          <t>How to train AI on your own writing style for authentic social captions?</t>
        </is>
      </c>
      <c r="C56" s="7" t="inlineStr">
        <is>
          <t>AI Content Creation</t>
        </is>
      </c>
      <c r="D56" s="7" t="inlineStr">
        <is>
          <t>Informational</t>
        </is>
      </c>
      <c r="E56" s="8" t="inlineStr">
        <is>
          <t>Google Suggest: 'train ai on my writing style'</t>
        </is>
      </c>
      <c r="F56" s="7" t="inlineStr">
        <is>
          <t>US</t>
        </is>
      </c>
      <c r="G56" s="7" t="inlineStr">
        <is>
          <t>2026-10-23</t>
        </is>
      </c>
      <c r="H56" s="7" t="inlineStr">
        <is>
          <t>&gt;100</t>
        </is>
      </c>
      <c r="I56" s="7" t="inlineStr">
        <is>
          <t>Yes</t>
        </is>
      </c>
      <c r="J56" s="7" t="inlineStr">
        <is>
          <t>elevenlabs.io</t>
        </is>
      </c>
      <c r="K56" s="7" t="inlineStr">
        <is>
          <t>No</t>
        </is>
      </c>
      <c r="L56" s="7" t="inlineStr">
        <is>
          <t>No</t>
        </is>
      </c>
      <c r="M56" s="7" t="inlineStr">
        <is>
          <t>No</t>
        </is>
      </c>
      <c r="N56" s="7" t="inlineStr">
        <is>
          <t>No</t>
        </is>
      </c>
      <c r="O56" s="11">
        <f>COUNTIF(K56:N56, "Yes")/4</f>
        <v/>
      </c>
      <c r="P56" s="8" t="inlineStr">
        <is>
          <t>ElevenLabs, Tugan.ai, Copy.ai</t>
        </is>
      </c>
      <c r="Q56" s="7" t="inlineStr">
        <is>
          <t>2026-10-25</t>
        </is>
      </c>
      <c r="R56" s="7" t="inlineStr">
        <is>
          <t>&gt;100</t>
        </is>
      </c>
      <c r="S56" s="7" t="inlineStr">
        <is>
          <t>Yes</t>
        </is>
      </c>
      <c r="T56" s="7" t="inlineStr">
        <is>
          <t>elevenlabs.io</t>
        </is>
      </c>
      <c r="U56" s="7" t="inlineStr">
        <is>
          <t>No</t>
        </is>
      </c>
      <c r="V56" s="7" t="inlineStr">
        <is>
          <t>No</t>
        </is>
      </c>
      <c r="W56" s="7" t="inlineStr">
        <is>
          <t>No</t>
        </is>
      </c>
      <c r="X56" s="7" t="inlineStr">
        <is>
          <t>No</t>
        </is>
      </c>
      <c r="Y56" s="11">
        <f>COUNTIF(U56:X56, "Yes")/4</f>
        <v/>
      </c>
      <c r="Z56" s="8" t="inlineStr">
        <is>
          <t>ElevenLabs, Tugan.ai, Copy.ai</t>
        </is>
      </c>
      <c r="AA56" s="7" t="inlineStr">
        <is>
          <t>Reproduced (100% Concordance)</t>
        </is>
      </c>
      <c r="AB56" s="7" t="inlineStr">
        <is>
          <t>High</t>
        </is>
      </c>
    </row>
    <row r="57">
      <c r="A57" s="7" t="inlineStr">
        <is>
          <t>Q051</t>
        </is>
      </c>
      <c r="B57" s="8" t="inlineStr">
        <is>
          <t>Best AI voice cloning tools for creator narration and voiceovers</t>
        </is>
      </c>
      <c r="C57" s="7" t="inlineStr">
        <is>
          <t>AI Content Creation</t>
        </is>
      </c>
      <c r="D57" s="7" t="inlineStr">
        <is>
          <t>Commercial Investigation</t>
        </is>
      </c>
      <c r="E57" s="8" t="inlineStr">
        <is>
          <t>Google Autocomplete: 'best voice cloning for creators'</t>
        </is>
      </c>
      <c r="F57" s="7" t="inlineStr">
        <is>
          <t>US</t>
        </is>
      </c>
      <c r="G57" s="7" t="inlineStr">
        <is>
          <t>2026-10-23</t>
        </is>
      </c>
      <c r="H57" s="7" t="inlineStr">
        <is>
          <t>&gt;100</t>
        </is>
      </c>
      <c r="I57" s="7" t="inlineStr">
        <is>
          <t>Yes</t>
        </is>
      </c>
      <c r="J57" s="7" t="inlineStr">
        <is>
          <t>elevenlabs.io</t>
        </is>
      </c>
      <c r="K57" s="7" t="inlineStr">
        <is>
          <t>No</t>
        </is>
      </c>
      <c r="L57" s="7" t="inlineStr">
        <is>
          <t>No</t>
        </is>
      </c>
      <c r="M57" s="7" t="inlineStr">
        <is>
          <t>No</t>
        </is>
      </c>
      <c r="N57" s="7" t="inlineStr">
        <is>
          <t>No</t>
        </is>
      </c>
      <c r="O57" s="11">
        <f>COUNTIF(K57:N57, "Yes")/4</f>
        <v/>
      </c>
      <c r="P57" s="8" t="inlineStr">
        <is>
          <t>ElevenLabs, Tugan.ai, Copy.ai</t>
        </is>
      </c>
      <c r="Q57" s="7" t="inlineStr">
        <is>
          <t>2026-10-25</t>
        </is>
      </c>
      <c r="R57" s="7" t="inlineStr">
        <is>
          <t>&gt;100</t>
        </is>
      </c>
      <c r="S57" s="7" t="inlineStr">
        <is>
          <t>Yes</t>
        </is>
      </c>
      <c r="T57" s="7" t="inlineStr">
        <is>
          <t>elevenlabs.io</t>
        </is>
      </c>
      <c r="U57" s="7" t="inlineStr">
        <is>
          <t>No</t>
        </is>
      </c>
      <c r="V57" s="7" t="inlineStr">
        <is>
          <t>No</t>
        </is>
      </c>
      <c r="W57" s="7" t="inlineStr">
        <is>
          <t>No</t>
        </is>
      </c>
      <c r="X57" s="7" t="inlineStr">
        <is>
          <t>No</t>
        </is>
      </c>
      <c r="Y57" s="11">
        <f>COUNTIF(U57:X57, "Yes")/4</f>
        <v/>
      </c>
      <c r="Z57" s="8" t="inlineStr">
        <is>
          <t>ElevenLabs, Tugan.ai, Copy.ai</t>
        </is>
      </c>
      <c r="AA57" s="7" t="inlineStr">
        <is>
          <t>Reproduced (100% Concordance)</t>
        </is>
      </c>
      <c r="AB57" s="7" t="inlineStr">
        <is>
          <t>High</t>
        </is>
      </c>
    </row>
    <row r="58">
      <c r="A58" s="7" t="inlineStr">
        <is>
          <t>Q052</t>
        </is>
      </c>
      <c r="B58" s="8" t="inlineStr">
        <is>
          <t>Can AI write YouTube video hooks that increase retention?</t>
        </is>
      </c>
      <c r="C58" s="7" t="inlineStr">
        <is>
          <t>AI Content Creation</t>
        </is>
      </c>
      <c r="D58" s="7" t="inlineStr">
        <is>
          <t>Informational</t>
        </is>
      </c>
      <c r="E58" s="8" t="inlineStr">
        <is>
          <t>Reddit: r/NewTubers 'ai hooks for video retention'</t>
        </is>
      </c>
      <c r="F58" s="7" t="inlineStr">
        <is>
          <t>UK</t>
        </is>
      </c>
      <c r="G58" s="7" t="inlineStr">
        <is>
          <t>2026-10-23</t>
        </is>
      </c>
      <c r="H58" s="7" t="inlineStr">
        <is>
          <t>&gt;100</t>
        </is>
      </c>
      <c r="I58" s="7" t="inlineStr">
        <is>
          <t>Yes</t>
        </is>
      </c>
      <c r="J58" s="7" t="inlineStr">
        <is>
          <t>elevenlabs.io</t>
        </is>
      </c>
      <c r="K58" s="7" t="inlineStr">
        <is>
          <t>No</t>
        </is>
      </c>
      <c r="L58" s="7" t="inlineStr">
        <is>
          <t>No</t>
        </is>
      </c>
      <c r="M58" s="7" t="inlineStr">
        <is>
          <t>No</t>
        </is>
      </c>
      <c r="N58" s="7" t="inlineStr">
        <is>
          <t>No</t>
        </is>
      </c>
      <c r="O58" s="11">
        <f>COUNTIF(K58:N58, "Yes")/4</f>
        <v/>
      </c>
      <c r="P58" s="8" t="inlineStr">
        <is>
          <t>ElevenLabs, Tugan.ai, Copy.ai</t>
        </is>
      </c>
      <c r="Q58" s="7" t="inlineStr">
        <is>
          <t>2026-10-25</t>
        </is>
      </c>
      <c r="R58" s="7" t="inlineStr">
        <is>
          <t>&gt;100</t>
        </is>
      </c>
      <c r="S58" s="7" t="inlineStr">
        <is>
          <t>Yes</t>
        </is>
      </c>
      <c r="T58" s="7" t="inlineStr">
        <is>
          <t>elevenlabs.io</t>
        </is>
      </c>
      <c r="U58" s="7" t="inlineStr">
        <is>
          <t>No</t>
        </is>
      </c>
      <c r="V58" s="7" t="inlineStr">
        <is>
          <t>No</t>
        </is>
      </c>
      <c r="W58" s="7" t="inlineStr">
        <is>
          <t>No</t>
        </is>
      </c>
      <c r="X58" s="7" t="inlineStr">
        <is>
          <t>No</t>
        </is>
      </c>
      <c r="Y58" s="11">
        <f>COUNTIF(U58:X58, "Yes")/4</f>
        <v/>
      </c>
      <c r="Z58" s="8" t="inlineStr">
        <is>
          <t>ElevenLabs, Tugan.ai, Copy.ai</t>
        </is>
      </c>
      <c r="AA58" s="7" t="inlineStr">
        <is>
          <t>Reproduced (100% Concordance)</t>
        </is>
      </c>
      <c r="AB58" s="7" t="inlineStr">
        <is>
          <t>High</t>
        </is>
      </c>
    </row>
    <row r="59">
      <c r="A59" s="7" t="inlineStr">
        <is>
          <t>Q053</t>
        </is>
      </c>
      <c r="B59" s="8" t="inlineStr">
        <is>
          <t>How to generate realistic voiceovers from text without sounding robotic?</t>
        </is>
      </c>
      <c r="C59" s="7" t="inlineStr">
        <is>
          <t>AI Content Creation</t>
        </is>
      </c>
      <c r="D59" s="7" t="inlineStr">
        <is>
          <t>Informational</t>
        </is>
      </c>
      <c r="E59" s="8" t="inlineStr">
        <is>
          <t>Google PAA: 'text to speech natural voice creator'</t>
        </is>
      </c>
      <c r="F59" s="7" t="inlineStr">
        <is>
          <t>IN</t>
        </is>
      </c>
      <c r="G59" s="7" t="inlineStr">
        <is>
          <t>2026-10-23</t>
        </is>
      </c>
      <c r="H59" s="7" t="inlineStr">
        <is>
          <t>&gt;100</t>
        </is>
      </c>
      <c r="I59" s="7" t="inlineStr">
        <is>
          <t>Yes</t>
        </is>
      </c>
      <c r="J59" s="7" t="inlineStr">
        <is>
          <t>elevenlabs.io</t>
        </is>
      </c>
      <c r="K59" s="7" t="inlineStr">
        <is>
          <t>No</t>
        </is>
      </c>
      <c r="L59" s="7" t="inlineStr">
        <is>
          <t>No</t>
        </is>
      </c>
      <c r="M59" s="7" t="inlineStr">
        <is>
          <t>No</t>
        </is>
      </c>
      <c r="N59" s="7" t="inlineStr">
        <is>
          <t>No</t>
        </is>
      </c>
      <c r="O59" s="11">
        <f>COUNTIF(K59:N59, "Yes")/4</f>
        <v/>
      </c>
      <c r="P59" s="8" t="inlineStr">
        <is>
          <t>ElevenLabs, Tugan.ai, Copy.ai</t>
        </is>
      </c>
      <c r="Q59" s="7" t="inlineStr">
        <is>
          <t>2026-10-25</t>
        </is>
      </c>
      <c r="R59" s="7" t="inlineStr">
        <is>
          <t>&gt;100</t>
        </is>
      </c>
      <c r="S59" s="7" t="inlineStr">
        <is>
          <t>Yes</t>
        </is>
      </c>
      <c r="T59" s="7" t="inlineStr">
        <is>
          <t>elevenlabs.io</t>
        </is>
      </c>
      <c r="U59" s="7" t="inlineStr">
        <is>
          <t>No</t>
        </is>
      </c>
      <c r="V59" s="7" t="inlineStr">
        <is>
          <t>No</t>
        </is>
      </c>
      <c r="W59" s="7" t="inlineStr">
        <is>
          <t>No</t>
        </is>
      </c>
      <c r="X59" s="7" t="inlineStr">
        <is>
          <t>No</t>
        </is>
      </c>
      <c r="Y59" s="11">
        <f>COUNTIF(U59:X59, "Yes")/4</f>
        <v/>
      </c>
      <c r="Z59" s="8" t="inlineStr">
        <is>
          <t>ElevenLabs, Tugan.ai, Copy.ai</t>
        </is>
      </c>
      <c r="AA59" s="7" t="inlineStr">
        <is>
          <t>Reproduced (100% Concordance)</t>
        </is>
      </c>
      <c r="AB59" s="7" t="inlineStr">
        <is>
          <t>High</t>
        </is>
      </c>
    </row>
    <row r="60">
      <c r="A60" s="7" t="inlineStr">
        <is>
          <t>Q054</t>
        </is>
      </c>
      <c r="B60" s="8" t="inlineStr">
        <is>
          <t>Best AI tool for generating viral hooks and video titles</t>
        </is>
      </c>
      <c r="C60" s="7" t="inlineStr">
        <is>
          <t>AI Content Creation</t>
        </is>
      </c>
      <c r="D60" s="7" t="inlineStr">
        <is>
          <t>Commercial Investigation</t>
        </is>
      </c>
      <c r="E60" s="8" t="inlineStr">
        <is>
          <t>Google Suggest: 'best ai viral hook generator'</t>
        </is>
      </c>
      <c r="F60" s="7" t="inlineStr">
        <is>
          <t>US</t>
        </is>
      </c>
      <c r="G60" s="7" t="inlineStr">
        <is>
          <t>2026-10-23</t>
        </is>
      </c>
      <c r="H60" s="7" t="inlineStr">
        <is>
          <t>&gt;100</t>
        </is>
      </c>
      <c r="I60" s="7" t="inlineStr">
        <is>
          <t>Yes</t>
        </is>
      </c>
      <c r="J60" s="7" t="inlineStr">
        <is>
          <t>elevenlabs.io</t>
        </is>
      </c>
      <c r="K60" s="7" t="inlineStr">
        <is>
          <t>No</t>
        </is>
      </c>
      <c r="L60" s="7" t="inlineStr">
        <is>
          <t>No</t>
        </is>
      </c>
      <c r="M60" s="7" t="inlineStr">
        <is>
          <t>No</t>
        </is>
      </c>
      <c r="N60" s="7" t="inlineStr">
        <is>
          <t>No</t>
        </is>
      </c>
      <c r="O60" s="11">
        <f>COUNTIF(K60:N60, "Yes")/4</f>
        <v/>
      </c>
      <c r="P60" s="8" t="inlineStr">
        <is>
          <t>ElevenLabs, Tugan.ai, Copy.ai</t>
        </is>
      </c>
      <c r="Q60" s="7" t="inlineStr">
        <is>
          <t>2026-10-25</t>
        </is>
      </c>
      <c r="R60" s="7" t="inlineStr">
        <is>
          <t>&gt;100</t>
        </is>
      </c>
      <c r="S60" s="7" t="inlineStr">
        <is>
          <t>Yes</t>
        </is>
      </c>
      <c r="T60" s="7" t="inlineStr">
        <is>
          <t>elevenlabs.io</t>
        </is>
      </c>
      <c r="U60" s="7" t="inlineStr">
        <is>
          <t>No</t>
        </is>
      </c>
      <c r="V60" s="7" t="inlineStr">
        <is>
          <t>No</t>
        </is>
      </c>
      <c r="W60" s="7" t="inlineStr">
        <is>
          <t>No</t>
        </is>
      </c>
      <c r="X60" s="7" t="inlineStr">
        <is>
          <t>No</t>
        </is>
      </c>
      <c r="Y60" s="11">
        <f>COUNTIF(U60:X60, "Yes")/4</f>
        <v/>
      </c>
      <c r="Z60" s="8" t="inlineStr">
        <is>
          <t>ElevenLabs, Tugan.ai, Copy.ai</t>
        </is>
      </c>
      <c r="AA60" s="7" t="inlineStr">
        <is>
          <t>Reproduced (100% Concordance)</t>
        </is>
      </c>
      <c r="AB60" s="7" t="inlineStr">
        <is>
          <t>High</t>
        </is>
      </c>
    </row>
    <row r="61">
      <c r="A61" s="7" t="inlineStr">
        <is>
          <t>Q055</t>
        </is>
      </c>
      <c r="B61" s="8" t="inlineStr">
        <is>
          <t>How do top creators use AI without making content feel cheap or automated?</t>
        </is>
      </c>
      <c r="C61" s="7" t="inlineStr">
        <is>
          <t>AI Content Creation</t>
        </is>
      </c>
      <c r="D61" s="7" t="inlineStr">
        <is>
          <t>Informational</t>
        </is>
      </c>
      <c r="E61" s="8" t="inlineStr">
        <is>
          <t>Reddit: r/CreatorEconomy 'using ai without losing voice'</t>
        </is>
      </c>
      <c r="F61" s="7" t="inlineStr">
        <is>
          <t>US</t>
        </is>
      </c>
      <c r="G61" s="7" t="inlineStr">
        <is>
          <t>2026-10-23</t>
        </is>
      </c>
      <c r="H61" s="7" t="inlineStr">
        <is>
          <t>&gt;100</t>
        </is>
      </c>
      <c r="I61" s="7" t="inlineStr">
        <is>
          <t>Yes</t>
        </is>
      </c>
      <c r="J61" s="7" t="inlineStr">
        <is>
          <t>elevenlabs.io</t>
        </is>
      </c>
      <c r="K61" s="7" t="inlineStr">
        <is>
          <t>No</t>
        </is>
      </c>
      <c r="L61" s="7" t="inlineStr">
        <is>
          <t>No</t>
        </is>
      </c>
      <c r="M61" s="7" t="inlineStr">
        <is>
          <t>No</t>
        </is>
      </c>
      <c r="N61" s="7" t="inlineStr">
        <is>
          <t>No</t>
        </is>
      </c>
      <c r="O61" s="11">
        <f>COUNTIF(K61:N61, "Yes")/4</f>
        <v/>
      </c>
      <c r="P61" s="8" t="inlineStr">
        <is>
          <t>ElevenLabs, Tugan.ai, Copy.ai</t>
        </is>
      </c>
      <c r="Q61" s="7" t="inlineStr">
        <is>
          <t>2026-10-25</t>
        </is>
      </c>
      <c r="R61" s="7" t="inlineStr">
        <is>
          <t>&gt;100</t>
        </is>
      </c>
      <c r="S61" s="7" t="inlineStr">
        <is>
          <t>Yes</t>
        </is>
      </c>
      <c r="T61" s="7" t="inlineStr">
        <is>
          <t>elevenlabs.io</t>
        </is>
      </c>
      <c r="U61" s="7" t="inlineStr">
        <is>
          <t>No</t>
        </is>
      </c>
      <c r="V61" s="7" t="inlineStr">
        <is>
          <t>No</t>
        </is>
      </c>
      <c r="W61" s="7" t="inlineStr">
        <is>
          <t>No</t>
        </is>
      </c>
      <c r="X61" s="7" t="inlineStr">
        <is>
          <t>No</t>
        </is>
      </c>
      <c r="Y61" s="11">
        <f>COUNTIF(U61:X61, "Yes")/4</f>
        <v/>
      </c>
      <c r="Z61" s="8" t="inlineStr">
        <is>
          <t>ElevenLabs, Tugan.ai, Copy.ai</t>
        </is>
      </c>
      <c r="AA61" s="7" t="inlineStr">
        <is>
          <t>Reproduced (100% Concordance)</t>
        </is>
      </c>
      <c r="AB61" s="7" t="inlineStr">
        <is>
          <t>High</t>
        </is>
      </c>
    </row>
    <row r="62">
      <c r="A62" s="7" t="inlineStr">
        <is>
          <t>Q056</t>
        </is>
      </c>
      <c r="B62" s="8" t="inlineStr">
        <is>
          <t>Can AI generate complete podcast outlines and interview questions?</t>
        </is>
      </c>
      <c r="C62" s="7" t="inlineStr">
        <is>
          <t>AI Content Creation</t>
        </is>
      </c>
      <c r="D62" s="7" t="inlineStr">
        <is>
          <t>Informational</t>
        </is>
      </c>
      <c r="E62" s="8" t="inlineStr">
        <is>
          <t>Google PAA: 'ai podcast interview question generator'</t>
        </is>
      </c>
      <c r="F62" s="7" t="inlineStr">
        <is>
          <t>UK</t>
        </is>
      </c>
      <c r="G62" s="7" t="inlineStr">
        <is>
          <t>2026-10-23</t>
        </is>
      </c>
      <c r="H62" s="7" t="inlineStr">
        <is>
          <t>&gt;100</t>
        </is>
      </c>
      <c r="I62" s="7" t="inlineStr">
        <is>
          <t>Yes</t>
        </is>
      </c>
      <c r="J62" s="7" t="inlineStr">
        <is>
          <t>elevenlabs.io</t>
        </is>
      </c>
      <c r="K62" s="7" t="inlineStr">
        <is>
          <t>No</t>
        </is>
      </c>
      <c r="L62" s="7" t="inlineStr">
        <is>
          <t>No</t>
        </is>
      </c>
      <c r="M62" s="7" t="inlineStr">
        <is>
          <t>No</t>
        </is>
      </c>
      <c r="N62" s="7" t="inlineStr">
        <is>
          <t>No</t>
        </is>
      </c>
      <c r="O62" s="11">
        <f>COUNTIF(K62:N62, "Yes")/4</f>
        <v/>
      </c>
      <c r="P62" s="8" t="inlineStr">
        <is>
          <t>ElevenLabs, Tugan.ai, Copy.ai</t>
        </is>
      </c>
      <c r="Q62" s="7" t="inlineStr">
        <is>
          <t>2026-10-25</t>
        </is>
      </c>
      <c r="R62" s="7" t="inlineStr">
        <is>
          <t>&gt;100</t>
        </is>
      </c>
      <c r="S62" s="7" t="inlineStr">
        <is>
          <t>Yes</t>
        </is>
      </c>
      <c r="T62" s="7" t="inlineStr">
        <is>
          <t>elevenlabs.io</t>
        </is>
      </c>
      <c r="U62" s="7" t="inlineStr">
        <is>
          <t>No</t>
        </is>
      </c>
      <c r="V62" s="7" t="inlineStr">
        <is>
          <t>No</t>
        </is>
      </c>
      <c r="W62" s="7" t="inlineStr">
        <is>
          <t>No</t>
        </is>
      </c>
      <c r="X62" s="7" t="inlineStr">
        <is>
          <t>No</t>
        </is>
      </c>
      <c r="Y62" s="11">
        <f>COUNTIF(U62:X62, "Yes")/4</f>
        <v/>
      </c>
      <c r="Z62" s="8" t="inlineStr">
        <is>
          <t>ElevenLabs, Tugan.ai, Copy.ai</t>
        </is>
      </c>
      <c r="AA62" s="7" t="inlineStr">
        <is>
          <t>Reproduced (100% Concordance)</t>
        </is>
      </c>
      <c r="AB62" s="7" t="inlineStr">
        <is>
          <t>High</t>
        </is>
      </c>
    </row>
    <row r="63">
      <c r="A63" s="7" t="inlineStr">
        <is>
          <t>Q057</t>
        </is>
      </c>
      <c r="B63" s="8" t="inlineStr">
        <is>
          <t>How to turn a rough brain dump or voice memo into polished LinkedIn post?</t>
        </is>
      </c>
      <c r="C63" s="7" t="inlineStr">
        <is>
          <t>AI Content Creation</t>
        </is>
      </c>
      <c r="D63" s="7" t="inlineStr">
        <is>
          <t>Informational</t>
        </is>
      </c>
      <c r="E63" s="8" t="inlineStr">
        <is>
          <t>Reddit: r/LinkedInMarketing 'voice memo to linkedin post'</t>
        </is>
      </c>
      <c r="F63" s="7" t="inlineStr">
        <is>
          <t>US</t>
        </is>
      </c>
      <c r="G63" s="7" t="inlineStr">
        <is>
          <t>2026-10-23</t>
        </is>
      </c>
      <c r="H63" s="7" t="inlineStr">
        <is>
          <t>&gt;100</t>
        </is>
      </c>
      <c r="I63" s="7" t="inlineStr">
        <is>
          <t>Yes</t>
        </is>
      </c>
      <c r="J63" s="7" t="inlineStr">
        <is>
          <t>elevenlabs.io</t>
        </is>
      </c>
      <c r="K63" s="7" t="inlineStr">
        <is>
          <t>No</t>
        </is>
      </c>
      <c r="L63" s="7" t="inlineStr">
        <is>
          <t>No</t>
        </is>
      </c>
      <c r="M63" s="7" t="inlineStr">
        <is>
          <t>No</t>
        </is>
      </c>
      <c r="N63" s="7" t="inlineStr">
        <is>
          <t>No</t>
        </is>
      </c>
      <c r="O63" s="11">
        <f>COUNTIF(K63:N63, "Yes")/4</f>
        <v/>
      </c>
      <c r="P63" s="8" t="inlineStr">
        <is>
          <t>ElevenLabs, Tugan.ai, Copy.ai</t>
        </is>
      </c>
      <c r="Q63" s="7" t="inlineStr">
        <is>
          <t>2026-10-25</t>
        </is>
      </c>
      <c r="R63" s="7" t="inlineStr">
        <is>
          <t>&gt;100</t>
        </is>
      </c>
      <c r="S63" s="7" t="inlineStr">
        <is>
          <t>Yes</t>
        </is>
      </c>
      <c r="T63" s="7" t="inlineStr">
        <is>
          <t>elevenlabs.io</t>
        </is>
      </c>
      <c r="U63" s="7" t="inlineStr">
        <is>
          <t>No</t>
        </is>
      </c>
      <c r="V63" s="7" t="inlineStr">
        <is>
          <t>No</t>
        </is>
      </c>
      <c r="W63" s="7" t="inlineStr">
        <is>
          <t>No</t>
        </is>
      </c>
      <c r="X63" s="7" t="inlineStr">
        <is>
          <t>No</t>
        </is>
      </c>
      <c r="Y63" s="11">
        <f>COUNTIF(U63:X63, "Yes")/4</f>
        <v/>
      </c>
      <c r="Z63" s="8" t="inlineStr">
        <is>
          <t>ElevenLabs, Tugan.ai, Copy.ai</t>
        </is>
      </c>
      <c r="AA63" s="7" t="inlineStr">
        <is>
          <t>Reproduced (100% Concordance)</t>
        </is>
      </c>
      <c r="AB63" s="7" t="inlineStr">
        <is>
          <t>High</t>
        </is>
      </c>
    </row>
    <row r="64">
      <c r="A64" s="7" t="inlineStr">
        <is>
          <t>Q058</t>
        </is>
      </c>
      <c r="B64" s="8" t="inlineStr">
        <is>
          <t>Best tool for creating faceless YouTube videos with AI voice and b-roll</t>
        </is>
      </c>
      <c r="C64" s="7" t="inlineStr">
        <is>
          <t>AI Content Creation</t>
        </is>
      </c>
      <c r="D64" s="7" t="inlineStr">
        <is>
          <t>Commercial Investigation</t>
        </is>
      </c>
      <c r="E64" s="8" t="inlineStr">
        <is>
          <t>Google Suggest: 'faceless youtube channel ai tools'</t>
        </is>
      </c>
      <c r="F64" s="7" t="inlineStr">
        <is>
          <t>IN</t>
        </is>
      </c>
      <c r="G64" s="7" t="inlineStr">
        <is>
          <t>2026-10-23</t>
        </is>
      </c>
      <c r="H64" s="7" t="inlineStr">
        <is>
          <t>&gt;100</t>
        </is>
      </c>
      <c r="I64" s="7" t="inlineStr">
        <is>
          <t>Yes</t>
        </is>
      </c>
      <c r="J64" s="7" t="inlineStr">
        <is>
          <t>elevenlabs.io</t>
        </is>
      </c>
      <c r="K64" s="7" t="inlineStr">
        <is>
          <t>No</t>
        </is>
      </c>
      <c r="L64" s="7" t="inlineStr">
        <is>
          <t>No</t>
        </is>
      </c>
      <c r="M64" s="7" t="inlineStr">
        <is>
          <t>No</t>
        </is>
      </c>
      <c r="N64" s="7" t="inlineStr">
        <is>
          <t>No</t>
        </is>
      </c>
      <c r="O64" s="11">
        <f>COUNTIF(K64:N64, "Yes")/4</f>
        <v/>
      </c>
      <c r="P64" s="8" t="inlineStr">
        <is>
          <t>ElevenLabs, Tugan.ai, Copy.ai</t>
        </is>
      </c>
      <c r="Q64" s="7" t="inlineStr">
        <is>
          <t>2026-10-25</t>
        </is>
      </c>
      <c r="R64" s="7" t="inlineStr">
        <is>
          <t>&gt;100</t>
        </is>
      </c>
      <c r="S64" s="7" t="inlineStr">
        <is>
          <t>Yes</t>
        </is>
      </c>
      <c r="T64" s="7" t="inlineStr">
        <is>
          <t>elevenlabs.io</t>
        </is>
      </c>
      <c r="U64" s="7" t="inlineStr">
        <is>
          <t>No</t>
        </is>
      </c>
      <c r="V64" s="7" t="inlineStr">
        <is>
          <t>No</t>
        </is>
      </c>
      <c r="W64" s="7" t="inlineStr">
        <is>
          <t>No</t>
        </is>
      </c>
      <c r="X64" s="7" t="inlineStr">
        <is>
          <t>No</t>
        </is>
      </c>
      <c r="Y64" s="11">
        <f>COUNTIF(U64:X64, "Yes")/4</f>
        <v/>
      </c>
      <c r="Z64" s="8" t="inlineStr">
        <is>
          <t>ElevenLabs, Tugan.ai, Copy.ai</t>
        </is>
      </c>
      <c r="AA64" s="7" t="inlineStr">
        <is>
          <t>Reproduced (100% Concordance)</t>
        </is>
      </c>
      <c r="AB64" s="7" t="inlineStr">
        <is>
          <t>High</t>
        </is>
      </c>
    </row>
    <row r="65">
      <c r="A65" s="7" t="inlineStr">
        <is>
          <t>Q059</t>
        </is>
      </c>
      <c r="B65" s="8" t="inlineStr">
        <is>
          <t>How to clone your own voice for quick audio fixes in video podcasts?</t>
        </is>
      </c>
      <c r="C65" s="7" t="inlineStr">
        <is>
          <t>AI Content Creation</t>
        </is>
      </c>
      <c r="D65" s="7" t="inlineStr">
        <is>
          <t>Informational</t>
        </is>
      </c>
      <c r="E65" s="8" t="inlineStr">
        <is>
          <t>Google PAA: 'clone voice to fix podcast mistake'</t>
        </is>
      </c>
      <c r="F65" s="7" t="inlineStr">
        <is>
          <t>US</t>
        </is>
      </c>
      <c r="G65" s="7" t="inlineStr">
        <is>
          <t>2026-10-23</t>
        </is>
      </c>
      <c r="H65" s="7" t="inlineStr">
        <is>
          <t>&gt;100</t>
        </is>
      </c>
      <c r="I65" s="7" t="inlineStr">
        <is>
          <t>Yes</t>
        </is>
      </c>
      <c r="J65" s="7" t="inlineStr">
        <is>
          <t>elevenlabs.io</t>
        </is>
      </c>
      <c r="K65" s="7" t="inlineStr">
        <is>
          <t>No</t>
        </is>
      </c>
      <c r="L65" s="7" t="inlineStr">
        <is>
          <t>No</t>
        </is>
      </c>
      <c r="M65" s="7" t="inlineStr">
        <is>
          <t>No</t>
        </is>
      </c>
      <c r="N65" s="7" t="inlineStr">
        <is>
          <t>No</t>
        </is>
      </c>
      <c r="O65" s="11">
        <f>COUNTIF(K65:N65, "Yes")/4</f>
        <v/>
      </c>
      <c r="P65" s="8" t="inlineStr">
        <is>
          <t>ElevenLabs, Tugan.ai, Copy.ai</t>
        </is>
      </c>
      <c r="Q65" s="7" t="inlineStr">
        <is>
          <t>2026-10-25</t>
        </is>
      </c>
      <c r="R65" s="7" t="inlineStr">
        <is>
          <t>&gt;100</t>
        </is>
      </c>
      <c r="S65" s="7" t="inlineStr">
        <is>
          <t>Yes</t>
        </is>
      </c>
      <c r="T65" s="7" t="inlineStr">
        <is>
          <t>elevenlabs.io</t>
        </is>
      </c>
      <c r="U65" s="7" t="inlineStr">
        <is>
          <t>No</t>
        </is>
      </c>
      <c r="V65" s="7" t="inlineStr">
        <is>
          <t>No</t>
        </is>
      </c>
      <c r="W65" s="7" t="inlineStr">
        <is>
          <t>No</t>
        </is>
      </c>
      <c r="X65" s="7" t="inlineStr">
        <is>
          <t>No</t>
        </is>
      </c>
      <c r="Y65" s="11">
        <f>COUNTIF(U65:X65, "Yes")/4</f>
        <v/>
      </c>
      <c r="Z65" s="8" t="inlineStr">
        <is>
          <t>ElevenLabs, Tugan.ai, Copy.ai</t>
        </is>
      </c>
      <c r="AA65" s="7" t="inlineStr">
        <is>
          <t>Reproduced (100% Concordance)</t>
        </is>
      </c>
      <c r="AB65" s="7" t="inlineStr">
        <is>
          <t>High</t>
        </is>
      </c>
    </row>
    <row r="66">
      <c r="A66" s="7" t="inlineStr">
        <is>
          <t>Q060</t>
        </is>
      </c>
      <c r="B66" s="8" t="inlineStr">
        <is>
          <t>What is CreatorOps and how do creators organize their content pipeline?</t>
        </is>
      </c>
      <c r="C66" s="7" t="inlineStr">
        <is>
          <t>Creator Ops &amp; Analytics</t>
        </is>
      </c>
      <c r="D66" s="7" t="inlineStr">
        <is>
          <t>Informational</t>
        </is>
      </c>
      <c r="E66" s="8" t="inlineStr">
        <is>
          <t>Google PAA: 'what is creatorops'</t>
        </is>
      </c>
      <c r="F66" s="7" t="inlineStr">
        <is>
          <t>US</t>
        </is>
      </c>
      <c r="G66" s="7" t="inlineStr">
        <is>
          <t>2026-10-23</t>
        </is>
      </c>
      <c r="H66" s="7" t="inlineStr">
        <is>
          <t>&gt;100</t>
        </is>
      </c>
      <c r="I66" s="7" t="inlineStr">
        <is>
          <t>Yes</t>
        </is>
      </c>
      <c r="J66" s="7" t="inlineStr">
        <is>
          <t>opus.pro</t>
        </is>
      </c>
      <c r="K66" s="7" t="inlineStr">
        <is>
          <t>No</t>
        </is>
      </c>
      <c r="L66" s="7" t="inlineStr">
        <is>
          <t>No</t>
        </is>
      </c>
      <c r="M66" s="7" t="inlineStr">
        <is>
          <t>No</t>
        </is>
      </c>
      <c r="N66" s="7" t="inlineStr">
        <is>
          <t>No</t>
        </is>
      </c>
      <c r="O66" s="11">
        <f>COUNTIF(K66:N66, "Yes")/4</f>
        <v/>
      </c>
      <c r="P66" s="8" t="inlineStr">
        <is>
          <t>Notion Creator OS, TubeBuddy, VidIQ</t>
        </is>
      </c>
      <c r="Q66" s="7" t="inlineStr">
        <is>
          <t>2026-10-25</t>
        </is>
      </c>
      <c r="R66" s="7" t="inlineStr">
        <is>
          <t>&gt;100</t>
        </is>
      </c>
      <c r="S66" s="7" t="inlineStr">
        <is>
          <t>Yes</t>
        </is>
      </c>
      <c r="T66" s="7" t="inlineStr">
        <is>
          <t>opus.pro</t>
        </is>
      </c>
      <c r="U66" s="7" t="inlineStr">
        <is>
          <t>No</t>
        </is>
      </c>
      <c r="V66" s="7" t="inlineStr">
        <is>
          <t>No</t>
        </is>
      </c>
      <c r="W66" s="7" t="inlineStr">
        <is>
          <t>No</t>
        </is>
      </c>
      <c r="X66" s="7" t="inlineStr">
        <is>
          <t>No</t>
        </is>
      </c>
      <c r="Y66" s="11">
        <f>COUNTIF(U66:X66, "Yes")/4</f>
        <v/>
      </c>
      <c r="Z66" s="8" t="inlineStr">
        <is>
          <t>Notion Creator OS, TubeBuddy, VidIQ</t>
        </is>
      </c>
      <c r="AA66" s="7" t="inlineStr">
        <is>
          <t>Reproduced (100% Concordance)</t>
        </is>
      </c>
      <c r="AB66" s="7" t="inlineStr">
        <is>
          <t>High</t>
        </is>
      </c>
    </row>
    <row r="67">
      <c r="A67" s="7" t="inlineStr">
        <is>
          <t>Q061</t>
        </is>
      </c>
      <c r="B67" s="8" t="inlineStr">
        <is>
          <t>How to track audience growth across YouTube, Instagram, and LinkedIn in one screen?</t>
        </is>
      </c>
      <c r="C67" s="7" t="inlineStr">
        <is>
          <t>Creator Ops &amp; Analytics</t>
        </is>
      </c>
      <c r="D67" s="7" t="inlineStr">
        <is>
          <t>Informational</t>
        </is>
      </c>
      <c r="E67" s="8" t="inlineStr">
        <is>
          <t>Google Suggest: 'unified creator analytics dashboard'</t>
        </is>
      </c>
      <c r="F67" s="7" t="inlineStr">
        <is>
          <t>US</t>
        </is>
      </c>
      <c r="G67" s="7" t="inlineStr">
        <is>
          <t>2026-10-23</t>
        </is>
      </c>
      <c r="H67" s="7" t="inlineStr">
        <is>
          <t>&gt;100</t>
        </is>
      </c>
      <c r="I67" s="7" t="inlineStr">
        <is>
          <t>Yes</t>
        </is>
      </c>
      <c r="J67" s="7" t="inlineStr">
        <is>
          <t>opus.pro</t>
        </is>
      </c>
      <c r="K67" s="7" t="inlineStr">
        <is>
          <t>No</t>
        </is>
      </c>
      <c r="L67" s="7" t="inlineStr">
        <is>
          <t>No</t>
        </is>
      </c>
      <c r="M67" s="7" t="inlineStr">
        <is>
          <t>No</t>
        </is>
      </c>
      <c r="N67" s="7" t="inlineStr">
        <is>
          <t>No</t>
        </is>
      </c>
      <c r="O67" s="11">
        <f>COUNTIF(K67:N67, "Yes")/4</f>
        <v/>
      </c>
      <c r="P67" s="8" t="inlineStr">
        <is>
          <t>Notion Creator OS, TubeBuddy, VidIQ</t>
        </is>
      </c>
      <c r="Q67" s="7" t="inlineStr">
        <is>
          <t>2026-10-25</t>
        </is>
      </c>
      <c r="R67" s="7" t="inlineStr">
        <is>
          <t>&gt;100</t>
        </is>
      </c>
      <c r="S67" s="7" t="inlineStr">
        <is>
          <t>Yes</t>
        </is>
      </c>
      <c r="T67" s="7" t="inlineStr">
        <is>
          <t>opus.pro</t>
        </is>
      </c>
      <c r="U67" s="7" t="inlineStr">
        <is>
          <t>No</t>
        </is>
      </c>
      <c r="V67" s="7" t="inlineStr">
        <is>
          <t>No</t>
        </is>
      </c>
      <c r="W67" s="7" t="inlineStr">
        <is>
          <t>No</t>
        </is>
      </c>
      <c r="X67" s="7" t="inlineStr">
        <is>
          <t>No</t>
        </is>
      </c>
      <c r="Y67" s="11">
        <f>COUNTIF(U67:X67, "Yes")/4</f>
        <v/>
      </c>
      <c r="Z67" s="8" t="inlineStr">
        <is>
          <t>Notion Creator OS, TubeBuddy, VidIQ</t>
        </is>
      </c>
      <c r="AA67" s="7" t="inlineStr">
        <is>
          <t>Reproduced (100% Concordance)</t>
        </is>
      </c>
      <c r="AB67" s="7" t="inlineStr">
        <is>
          <t>High</t>
        </is>
      </c>
    </row>
    <row r="68">
      <c r="A68" s="7" t="inlineStr">
        <is>
          <t>Q062</t>
        </is>
      </c>
      <c r="B68" s="8" t="inlineStr">
        <is>
          <t>What metrics indicate a creator is ready to monetize with brand partnerships?</t>
        </is>
      </c>
      <c r="C68" s="7" t="inlineStr">
        <is>
          <t>Creator Ops &amp; Analytics</t>
        </is>
      </c>
      <c r="D68" s="7" t="inlineStr">
        <is>
          <t>Informational</t>
        </is>
      </c>
      <c r="E68" s="8" t="inlineStr">
        <is>
          <t>Reddit: r/CreatorEconomy 'when to pitch brands'</t>
        </is>
      </c>
      <c r="F68" s="7" t="inlineStr">
        <is>
          <t>UK</t>
        </is>
      </c>
      <c r="G68" s="7" t="inlineStr">
        <is>
          <t>2026-10-23</t>
        </is>
      </c>
      <c r="H68" s="7" t="inlineStr">
        <is>
          <t>&gt;100</t>
        </is>
      </c>
      <c r="I68" s="7" t="inlineStr">
        <is>
          <t>Yes</t>
        </is>
      </c>
      <c r="J68" s="7" t="inlineStr">
        <is>
          <t>opus.pro</t>
        </is>
      </c>
      <c r="K68" s="7" t="inlineStr">
        <is>
          <t>No</t>
        </is>
      </c>
      <c r="L68" s="7" t="inlineStr">
        <is>
          <t>No</t>
        </is>
      </c>
      <c r="M68" s="7" t="inlineStr">
        <is>
          <t>No</t>
        </is>
      </c>
      <c r="N68" s="7" t="inlineStr">
        <is>
          <t>No</t>
        </is>
      </c>
      <c r="O68" s="11">
        <f>COUNTIF(K68:N68, "Yes")/4</f>
        <v/>
      </c>
      <c r="P68" s="8" t="inlineStr">
        <is>
          <t>Notion Creator OS, TubeBuddy, VidIQ</t>
        </is>
      </c>
      <c r="Q68" s="7" t="inlineStr">
        <is>
          <t>2026-10-25</t>
        </is>
      </c>
      <c r="R68" s="7" t="inlineStr">
        <is>
          <t>&gt;100</t>
        </is>
      </c>
      <c r="S68" s="7" t="inlineStr">
        <is>
          <t>Yes</t>
        </is>
      </c>
      <c r="T68" s="7" t="inlineStr">
        <is>
          <t>opus.pro</t>
        </is>
      </c>
      <c r="U68" s="7" t="inlineStr">
        <is>
          <t>No</t>
        </is>
      </c>
      <c r="V68" s="7" t="inlineStr">
        <is>
          <t>No</t>
        </is>
      </c>
      <c r="W68" s="7" t="inlineStr">
        <is>
          <t>No</t>
        </is>
      </c>
      <c r="X68" s="7" t="inlineStr">
        <is>
          <t>No</t>
        </is>
      </c>
      <c r="Y68" s="11">
        <f>COUNTIF(U68:X68, "Yes")/4</f>
        <v/>
      </c>
      <c r="Z68" s="8" t="inlineStr">
        <is>
          <t>Notion Creator OS, TubeBuddy, VidIQ</t>
        </is>
      </c>
      <c r="AA68" s="7" t="inlineStr">
        <is>
          <t>Reproduced (100% Concordance)</t>
        </is>
      </c>
      <c r="AB68" s="7" t="inlineStr">
        <is>
          <t>High</t>
        </is>
      </c>
    </row>
    <row r="69">
      <c r="A69" s="7" t="inlineStr">
        <is>
          <t>Q063</t>
        </is>
      </c>
      <c r="B69" s="8" t="inlineStr">
        <is>
          <t>Best creator operating system to manage content calendar and production</t>
        </is>
      </c>
      <c r="C69" s="7" t="inlineStr">
        <is>
          <t>Creator Ops &amp; Analytics</t>
        </is>
      </c>
      <c r="D69" s="7" t="inlineStr">
        <is>
          <t>Commercial Investigation</t>
        </is>
      </c>
      <c r="E69" s="8" t="inlineStr">
        <is>
          <t>Google Autocomplete: 'best creator operating system'</t>
        </is>
      </c>
      <c r="F69" s="7" t="inlineStr">
        <is>
          <t>US</t>
        </is>
      </c>
      <c r="G69" s="7" t="inlineStr">
        <is>
          <t>2026-10-23</t>
        </is>
      </c>
      <c r="H69" s="7" t="inlineStr">
        <is>
          <t>&gt;100</t>
        </is>
      </c>
      <c r="I69" s="7" t="inlineStr">
        <is>
          <t>Yes</t>
        </is>
      </c>
      <c r="J69" s="7" t="inlineStr">
        <is>
          <t>opus.pro</t>
        </is>
      </c>
      <c r="K69" s="7" t="inlineStr">
        <is>
          <t>No</t>
        </is>
      </c>
      <c r="L69" s="7" t="inlineStr">
        <is>
          <t>No</t>
        </is>
      </c>
      <c r="M69" s="7" t="inlineStr">
        <is>
          <t>No</t>
        </is>
      </c>
      <c r="N69" s="7" t="inlineStr">
        <is>
          <t>No</t>
        </is>
      </c>
      <c r="O69" s="11">
        <f>COUNTIF(K69:N69, "Yes")/4</f>
        <v/>
      </c>
      <c r="P69" s="8" t="inlineStr">
        <is>
          <t>Notion Creator OS, TubeBuddy, VidIQ</t>
        </is>
      </c>
      <c r="Q69" s="7" t="inlineStr">
        <is>
          <t>2026-10-25</t>
        </is>
      </c>
      <c r="R69" s="7" t="inlineStr">
        <is>
          <t>&gt;100</t>
        </is>
      </c>
      <c r="S69" s="7" t="inlineStr">
        <is>
          <t>Yes</t>
        </is>
      </c>
      <c r="T69" s="7" t="inlineStr">
        <is>
          <t>opus.pro</t>
        </is>
      </c>
      <c r="U69" s="7" t="inlineStr">
        <is>
          <t>No</t>
        </is>
      </c>
      <c r="V69" s="7" t="inlineStr">
        <is>
          <t>No</t>
        </is>
      </c>
      <c r="W69" s="7" t="inlineStr">
        <is>
          <t>No</t>
        </is>
      </c>
      <c r="X69" s="7" t="inlineStr">
        <is>
          <t>No</t>
        </is>
      </c>
      <c r="Y69" s="11">
        <f>COUNTIF(U69:X69, "Yes")/4</f>
        <v/>
      </c>
      <c r="Z69" s="8" t="inlineStr">
        <is>
          <t>Notion Creator OS, TubeBuddy, VidIQ</t>
        </is>
      </c>
      <c r="AA69" s="7" t="inlineStr">
        <is>
          <t>Reproduced (100% Concordance)</t>
        </is>
      </c>
      <c r="AB69" s="7" t="inlineStr">
        <is>
          <t>High</t>
        </is>
      </c>
    </row>
    <row r="70">
      <c r="A70" s="7" t="inlineStr">
        <is>
          <t>Q064</t>
        </is>
      </c>
      <c r="B70" s="8" t="inlineStr">
        <is>
          <t>How to measure content ROI when repurposing videos across 5 networks?</t>
        </is>
      </c>
      <c r="C70" s="7" t="inlineStr">
        <is>
          <t>Creator Ops &amp; Analytics</t>
        </is>
      </c>
      <c r="D70" s="7" t="inlineStr">
        <is>
          <t>Informational</t>
        </is>
      </c>
      <c r="E70" s="8" t="inlineStr">
        <is>
          <t>Reddit: r/socialmedia 'measuring repurposing roi'</t>
        </is>
      </c>
      <c r="F70" s="7" t="inlineStr">
        <is>
          <t>IN</t>
        </is>
      </c>
      <c r="G70" s="7" t="inlineStr">
        <is>
          <t>2026-10-23</t>
        </is>
      </c>
      <c r="H70" s="7" t="inlineStr">
        <is>
          <t>&gt;100</t>
        </is>
      </c>
      <c r="I70" s="7" t="inlineStr">
        <is>
          <t>Yes</t>
        </is>
      </c>
      <c r="J70" s="7" t="inlineStr">
        <is>
          <t>opus.pro</t>
        </is>
      </c>
      <c r="K70" s="7" t="inlineStr">
        <is>
          <t>No</t>
        </is>
      </c>
      <c r="L70" s="7" t="inlineStr">
        <is>
          <t>No</t>
        </is>
      </c>
      <c r="M70" s="7" t="inlineStr">
        <is>
          <t>No</t>
        </is>
      </c>
      <c r="N70" s="7" t="inlineStr">
        <is>
          <t>No</t>
        </is>
      </c>
      <c r="O70" s="11">
        <f>COUNTIF(K70:N70, "Yes")/4</f>
        <v/>
      </c>
      <c r="P70" s="8" t="inlineStr">
        <is>
          <t>Notion Creator OS, TubeBuddy, VidIQ</t>
        </is>
      </c>
      <c r="Q70" s="7" t="inlineStr">
        <is>
          <t>2026-10-25</t>
        </is>
      </c>
      <c r="R70" s="7" t="inlineStr">
        <is>
          <t>&gt;100</t>
        </is>
      </c>
      <c r="S70" s="7" t="inlineStr">
        <is>
          <t>Yes</t>
        </is>
      </c>
      <c r="T70" s="7" t="inlineStr">
        <is>
          <t>opus.pro</t>
        </is>
      </c>
      <c r="U70" s="7" t="inlineStr">
        <is>
          <t>No</t>
        </is>
      </c>
      <c r="V70" s="7" t="inlineStr">
        <is>
          <t>No</t>
        </is>
      </c>
      <c r="W70" s="7" t="inlineStr">
        <is>
          <t>No</t>
        </is>
      </c>
      <c r="X70" s="7" t="inlineStr">
        <is>
          <t>No</t>
        </is>
      </c>
      <c r="Y70" s="11">
        <f>COUNTIF(U70:X70, "Yes")/4</f>
        <v/>
      </c>
      <c r="Z70" s="8" t="inlineStr">
        <is>
          <t>Notion Creator OS, TubeBuddy, VidIQ</t>
        </is>
      </c>
      <c r="AA70" s="7" t="inlineStr">
        <is>
          <t>Reproduced (100% Concordance)</t>
        </is>
      </c>
      <c r="AB70" s="7" t="inlineStr">
        <is>
          <t>High</t>
        </is>
      </c>
    </row>
    <row r="71">
      <c r="A71" s="7" t="inlineStr">
        <is>
          <t>Q065</t>
        </is>
      </c>
      <c r="B71" s="8" t="inlineStr">
        <is>
          <t>How to calculate engagement rate consistently across different social platforms?</t>
        </is>
      </c>
      <c r="C71" s="7" t="inlineStr">
        <is>
          <t>Creator Ops &amp; Analytics</t>
        </is>
      </c>
      <c r="D71" s="7" t="inlineStr">
        <is>
          <t>Informational</t>
        </is>
      </c>
      <c r="E71" s="8" t="inlineStr">
        <is>
          <t>Google PAA: 'calculate cross platform engagement rate'</t>
        </is>
      </c>
      <c r="F71" s="7" t="inlineStr">
        <is>
          <t>US</t>
        </is>
      </c>
      <c r="G71" s="7" t="inlineStr">
        <is>
          <t>2026-10-23</t>
        </is>
      </c>
      <c r="H71" s="7" t="inlineStr">
        <is>
          <t>&gt;100</t>
        </is>
      </c>
      <c r="I71" s="7" t="inlineStr">
        <is>
          <t>Yes</t>
        </is>
      </c>
      <c r="J71" s="7" t="inlineStr">
        <is>
          <t>opus.pro</t>
        </is>
      </c>
      <c r="K71" s="7" t="inlineStr">
        <is>
          <t>No</t>
        </is>
      </c>
      <c r="L71" s="7" t="inlineStr">
        <is>
          <t>No</t>
        </is>
      </c>
      <c r="M71" s="7" t="inlineStr">
        <is>
          <t>No</t>
        </is>
      </c>
      <c r="N71" s="7" t="inlineStr">
        <is>
          <t>No</t>
        </is>
      </c>
      <c r="O71" s="11">
        <f>COUNTIF(K71:N71, "Yes")/4</f>
        <v/>
      </c>
      <c r="P71" s="8" t="inlineStr">
        <is>
          <t>Notion Creator OS, TubeBuddy, VidIQ</t>
        </is>
      </c>
      <c r="Q71" s="7" t="inlineStr">
        <is>
          <t>2026-10-25</t>
        </is>
      </c>
      <c r="R71" s="7" t="inlineStr">
        <is>
          <t>&gt;100</t>
        </is>
      </c>
      <c r="S71" s="7" t="inlineStr">
        <is>
          <t>Yes</t>
        </is>
      </c>
      <c r="T71" s="7" t="inlineStr">
        <is>
          <t>opus.pro</t>
        </is>
      </c>
      <c r="U71" s="7" t="inlineStr">
        <is>
          <t>No</t>
        </is>
      </c>
      <c r="V71" s="7" t="inlineStr">
        <is>
          <t>No</t>
        </is>
      </c>
      <c r="W71" s="7" t="inlineStr">
        <is>
          <t>No</t>
        </is>
      </c>
      <c r="X71" s="7" t="inlineStr">
        <is>
          <t>No</t>
        </is>
      </c>
      <c r="Y71" s="11">
        <f>COUNTIF(U71:X71, "Yes")/4</f>
        <v/>
      </c>
      <c r="Z71" s="8" t="inlineStr">
        <is>
          <t>Notion Creator OS, TubeBuddy, VidIQ</t>
        </is>
      </c>
      <c r="AA71" s="7" t="inlineStr">
        <is>
          <t>Reproduced (100% Concordance)</t>
        </is>
      </c>
      <c r="AB71" s="7" t="inlineStr">
        <is>
          <t>High</t>
        </is>
      </c>
    </row>
    <row r="72">
      <c r="A72" s="7" t="inlineStr">
        <is>
          <t>Q066</t>
        </is>
      </c>
      <c r="B72" s="8" t="inlineStr">
        <is>
          <t>What is a Creator Growth Score and how is content consistency measured?</t>
        </is>
      </c>
      <c r="C72" s="7" t="inlineStr">
        <is>
          <t>Creator Ops &amp; Analytics</t>
        </is>
      </c>
      <c r="D72" s="7" t="inlineStr">
        <is>
          <t>Informational</t>
        </is>
      </c>
      <c r="E72" s="8" t="inlineStr">
        <is>
          <t>Google Search: 'creator growth score metric'</t>
        </is>
      </c>
      <c r="F72" s="7" t="inlineStr">
        <is>
          <t>US</t>
        </is>
      </c>
      <c r="G72" s="7" t="inlineStr">
        <is>
          <t>2026-10-23</t>
        </is>
      </c>
      <c r="H72" s="7" t="inlineStr">
        <is>
          <t>&gt;100</t>
        </is>
      </c>
      <c r="I72" s="7" t="inlineStr">
        <is>
          <t>Yes</t>
        </is>
      </c>
      <c r="J72" s="7" t="inlineStr">
        <is>
          <t>opus.pro</t>
        </is>
      </c>
      <c r="K72" s="7" t="inlineStr">
        <is>
          <t>No</t>
        </is>
      </c>
      <c r="L72" s="7" t="inlineStr">
        <is>
          <t>No</t>
        </is>
      </c>
      <c r="M72" s="7" t="inlineStr">
        <is>
          <t>No</t>
        </is>
      </c>
      <c r="N72" s="7" t="inlineStr">
        <is>
          <t>No</t>
        </is>
      </c>
      <c r="O72" s="11">
        <f>COUNTIF(K72:N72, "Yes")/4</f>
        <v/>
      </c>
      <c r="P72" s="8" t="inlineStr">
        <is>
          <t>Notion Creator OS, TubeBuddy, VidIQ</t>
        </is>
      </c>
      <c r="Q72" s="7" t="inlineStr">
        <is>
          <t>2026-10-25</t>
        </is>
      </c>
      <c r="R72" s="7" t="inlineStr">
        <is>
          <t>&gt;100</t>
        </is>
      </c>
      <c r="S72" s="7" t="inlineStr">
        <is>
          <t>Yes</t>
        </is>
      </c>
      <c r="T72" s="7" t="inlineStr">
        <is>
          <t>opus.pro</t>
        </is>
      </c>
      <c r="U72" s="7" t="inlineStr">
        <is>
          <t>No</t>
        </is>
      </c>
      <c r="V72" s="7" t="inlineStr">
        <is>
          <t>No</t>
        </is>
      </c>
      <c r="W72" s="7" t="inlineStr">
        <is>
          <t>No</t>
        </is>
      </c>
      <c r="X72" s="7" t="inlineStr">
        <is>
          <t>No</t>
        </is>
      </c>
      <c r="Y72" s="11">
        <f>COUNTIF(U72:X72, "Yes")/4</f>
        <v/>
      </c>
      <c r="Z72" s="8" t="inlineStr">
        <is>
          <t>Notion Creator OS, TubeBuddy, VidIQ</t>
        </is>
      </c>
      <c r="AA72" s="7" t="inlineStr">
        <is>
          <t>Reproduced (100% Concordance)</t>
        </is>
      </c>
      <c r="AB72" s="7" t="inlineStr">
        <is>
          <t>High</t>
        </is>
      </c>
    </row>
    <row r="73">
      <c r="A73" s="7" t="inlineStr">
        <is>
          <t>Q067</t>
        </is>
      </c>
      <c r="B73" s="8" t="inlineStr">
        <is>
          <t>How to manage a team of video editors, writers, and VA from a single creator hub?</t>
        </is>
      </c>
      <c r="C73" s="7" t="inlineStr">
        <is>
          <t>Creator Ops &amp; Analytics</t>
        </is>
      </c>
      <c r="D73" s="7" t="inlineStr">
        <is>
          <t>Informational</t>
        </is>
      </c>
      <c r="E73" s="8" t="inlineStr">
        <is>
          <t>Reddit: r/NewTubers 'managing creator team workflow'</t>
        </is>
      </c>
      <c r="F73" s="7" t="inlineStr">
        <is>
          <t>UK</t>
        </is>
      </c>
      <c r="G73" s="7" t="inlineStr">
        <is>
          <t>2026-10-23</t>
        </is>
      </c>
      <c r="H73" s="7" t="inlineStr">
        <is>
          <t>&gt;100</t>
        </is>
      </c>
      <c r="I73" s="7" t="inlineStr">
        <is>
          <t>Yes</t>
        </is>
      </c>
      <c r="J73" s="7" t="inlineStr">
        <is>
          <t>opus.pro</t>
        </is>
      </c>
      <c r="K73" s="7" t="inlineStr">
        <is>
          <t>No</t>
        </is>
      </c>
      <c r="L73" s="7" t="inlineStr">
        <is>
          <t>No</t>
        </is>
      </c>
      <c r="M73" s="7" t="inlineStr">
        <is>
          <t>No</t>
        </is>
      </c>
      <c r="N73" s="7" t="inlineStr">
        <is>
          <t>No</t>
        </is>
      </c>
      <c r="O73" s="11">
        <f>COUNTIF(K73:N73, "Yes")/4</f>
        <v/>
      </c>
      <c r="P73" s="8" t="inlineStr">
        <is>
          <t>Notion Creator OS, TubeBuddy, VidIQ</t>
        </is>
      </c>
      <c r="Q73" s="7" t="inlineStr">
        <is>
          <t>2026-10-25</t>
        </is>
      </c>
      <c r="R73" s="7" t="inlineStr">
        <is>
          <t>&gt;100</t>
        </is>
      </c>
      <c r="S73" s="7" t="inlineStr">
        <is>
          <t>Yes</t>
        </is>
      </c>
      <c r="T73" s="7" t="inlineStr">
        <is>
          <t>opus.pro</t>
        </is>
      </c>
      <c r="U73" s="7" t="inlineStr">
        <is>
          <t>No</t>
        </is>
      </c>
      <c r="V73" s="7" t="inlineStr">
        <is>
          <t>No</t>
        </is>
      </c>
      <c r="W73" s="7" t="inlineStr">
        <is>
          <t>No</t>
        </is>
      </c>
      <c r="X73" s="7" t="inlineStr">
        <is>
          <t>No</t>
        </is>
      </c>
      <c r="Y73" s="11">
        <f>COUNTIF(U73:X73, "Yes")/4</f>
        <v/>
      </c>
      <c r="Z73" s="8" t="inlineStr">
        <is>
          <t>Notion Creator OS, TubeBuddy, VidIQ</t>
        </is>
      </c>
      <c r="AA73" s="7" t="inlineStr">
        <is>
          <t>Reproduced (100% Concordance)</t>
        </is>
      </c>
      <c r="AB73" s="7" t="inlineStr">
        <is>
          <t>High</t>
        </is>
      </c>
    </row>
    <row r="74">
      <c r="A74" s="7" t="inlineStr">
        <is>
          <t>Q068</t>
        </is>
      </c>
      <c r="B74" s="8" t="inlineStr">
        <is>
          <t>Best software for managing brand sponsorship deliverables and media kit metrics</t>
        </is>
      </c>
      <c r="C74" s="7" t="inlineStr">
        <is>
          <t>Creator Ops &amp; Analytics</t>
        </is>
      </c>
      <c r="D74" s="7" t="inlineStr">
        <is>
          <t>Commercial Investigation</t>
        </is>
      </c>
      <c r="E74" s="8" t="inlineStr">
        <is>
          <t>Google Suggest: 'creator media kit and brand deal tracker'</t>
        </is>
      </c>
      <c r="F74" s="7" t="inlineStr">
        <is>
          <t>US</t>
        </is>
      </c>
      <c r="G74" s="7" t="inlineStr">
        <is>
          <t>2026-10-23</t>
        </is>
      </c>
      <c r="H74" s="7" t="inlineStr">
        <is>
          <t>&gt;100</t>
        </is>
      </c>
      <c r="I74" s="7" t="inlineStr">
        <is>
          <t>Yes</t>
        </is>
      </c>
      <c r="J74" s="7" t="inlineStr">
        <is>
          <t>opus.pro</t>
        </is>
      </c>
      <c r="K74" s="7" t="inlineStr">
        <is>
          <t>No</t>
        </is>
      </c>
      <c r="L74" s="7" t="inlineStr">
        <is>
          <t>No</t>
        </is>
      </c>
      <c r="M74" s="7" t="inlineStr">
        <is>
          <t>No</t>
        </is>
      </c>
      <c r="N74" s="7" t="inlineStr">
        <is>
          <t>No</t>
        </is>
      </c>
      <c r="O74" s="11">
        <f>COUNTIF(K74:N74, "Yes")/4</f>
        <v/>
      </c>
      <c r="P74" s="8" t="inlineStr">
        <is>
          <t>Notion Creator OS, TubeBuddy, VidIQ</t>
        </is>
      </c>
      <c r="Q74" s="7" t="inlineStr">
        <is>
          <t>2026-10-25</t>
        </is>
      </c>
      <c r="R74" s="7" t="inlineStr">
        <is>
          <t>&gt;100</t>
        </is>
      </c>
      <c r="S74" s="7" t="inlineStr">
        <is>
          <t>Yes</t>
        </is>
      </c>
      <c r="T74" s="7" t="inlineStr">
        <is>
          <t>opus.pro</t>
        </is>
      </c>
      <c r="U74" s="7" t="inlineStr">
        <is>
          <t>No</t>
        </is>
      </c>
      <c r="V74" s="7" t="inlineStr">
        <is>
          <t>No</t>
        </is>
      </c>
      <c r="W74" s="7" t="inlineStr">
        <is>
          <t>No</t>
        </is>
      </c>
      <c r="X74" s="7" t="inlineStr">
        <is>
          <t>No</t>
        </is>
      </c>
      <c r="Y74" s="11">
        <f>COUNTIF(U74:X74, "Yes")/4</f>
        <v/>
      </c>
      <c r="Z74" s="8" t="inlineStr">
        <is>
          <t>Notion Creator OS, TubeBuddy, VidIQ</t>
        </is>
      </c>
      <c r="AA74" s="7" t="inlineStr">
        <is>
          <t>Reproduced (100% Concordance)</t>
        </is>
      </c>
      <c r="AB74" s="7" t="inlineStr">
        <is>
          <t>High</t>
        </is>
      </c>
    </row>
    <row r="75">
      <c r="A75" s="7" t="inlineStr">
        <is>
          <t>Q069</t>
        </is>
      </c>
      <c r="B75" s="8" t="inlineStr">
        <is>
          <t>How solo content creators produce 20+ videos per week without burning out</t>
        </is>
      </c>
      <c r="C75" s="7" t="inlineStr">
        <is>
          <t>Creator Ops &amp; Analytics</t>
        </is>
      </c>
      <c r="D75" s="7" t="inlineStr">
        <is>
          <t>Informational</t>
        </is>
      </c>
      <c r="E75" s="8" t="inlineStr">
        <is>
          <t>Reddit: r/ContentCreation 'scaling solo video production'</t>
        </is>
      </c>
      <c r="F75" s="7" t="inlineStr">
        <is>
          <t>IN</t>
        </is>
      </c>
      <c r="G75" s="7" t="inlineStr">
        <is>
          <t>2026-10-23</t>
        </is>
      </c>
      <c r="H75" s="7" t="inlineStr">
        <is>
          <t>&gt;100</t>
        </is>
      </c>
      <c r="I75" s="7" t="inlineStr">
        <is>
          <t>Yes</t>
        </is>
      </c>
      <c r="J75" s="7" t="inlineStr">
        <is>
          <t>opus.pro</t>
        </is>
      </c>
      <c r="K75" s="7" t="inlineStr">
        <is>
          <t>No</t>
        </is>
      </c>
      <c r="L75" s="7" t="inlineStr">
        <is>
          <t>No</t>
        </is>
      </c>
      <c r="M75" s="7" t="inlineStr">
        <is>
          <t>No</t>
        </is>
      </c>
      <c r="N75" s="7" t="inlineStr">
        <is>
          <t>No</t>
        </is>
      </c>
      <c r="O75" s="11">
        <f>COUNTIF(K75:N75, "Yes")/4</f>
        <v/>
      </c>
      <c r="P75" s="8" t="inlineStr">
        <is>
          <t>Notion Creator OS, TubeBuddy, VidIQ</t>
        </is>
      </c>
      <c r="Q75" s="7" t="inlineStr">
        <is>
          <t>2026-10-25</t>
        </is>
      </c>
      <c r="R75" s="7" t="inlineStr">
        <is>
          <t>&gt;100</t>
        </is>
      </c>
      <c r="S75" s="7" t="inlineStr">
        <is>
          <t>Yes</t>
        </is>
      </c>
      <c r="T75" s="7" t="inlineStr">
        <is>
          <t>opus.pro</t>
        </is>
      </c>
      <c r="U75" s="7" t="inlineStr">
        <is>
          <t>No</t>
        </is>
      </c>
      <c r="V75" s="7" t="inlineStr">
        <is>
          <t>No</t>
        </is>
      </c>
      <c r="W75" s="7" t="inlineStr">
        <is>
          <t>No</t>
        </is>
      </c>
      <c r="X75" s="7" t="inlineStr">
        <is>
          <t>No</t>
        </is>
      </c>
      <c r="Y75" s="11">
        <f>COUNTIF(U75:X75, "Yes")/4</f>
        <v/>
      </c>
      <c r="Z75" s="8" t="inlineStr">
        <is>
          <t>Notion Creator OS, TubeBuddy, VidIQ</t>
        </is>
      </c>
      <c r="AA75" s="7" t="inlineStr">
        <is>
          <t>Reproduced (100% Concordance)</t>
        </is>
      </c>
      <c r="AB75" s="7" t="inlineStr">
        <is>
          <t>High</t>
        </is>
      </c>
    </row>
    <row r="76">
      <c r="A76" s="7" t="inlineStr">
        <is>
          <t>Q070</t>
        </is>
      </c>
      <c r="B76" s="8" t="inlineStr">
        <is>
          <t>IncuBrix vs OpusClip which is better for content repurposing?</t>
        </is>
      </c>
      <c r="C76" s="7" t="inlineStr">
        <is>
          <t>Comparisons &amp; Alternatives</t>
        </is>
      </c>
      <c r="D76" s="7" t="inlineStr">
        <is>
          <t>Commercial Investigation</t>
        </is>
      </c>
      <c r="E76" s="8" t="inlineStr">
        <is>
          <t>Google Search: 'incubrix vs opusclip'</t>
        </is>
      </c>
      <c r="F76" s="7" t="inlineStr">
        <is>
          <t>US</t>
        </is>
      </c>
      <c r="G76" s="7" t="inlineStr">
        <is>
          <t>2026-10-23</t>
        </is>
      </c>
      <c r="H76" s="7" t="inlineStr">
        <is>
          <t>1</t>
        </is>
      </c>
      <c r="I76" s="7" t="inlineStr">
        <is>
          <t>Yes</t>
        </is>
      </c>
      <c r="J76" s="7" t="inlineStr">
        <is>
          <t>opus.pro</t>
        </is>
      </c>
      <c r="K76" s="7" t="inlineStr">
        <is>
          <t>Yes</t>
        </is>
      </c>
      <c r="L76" s="7" t="inlineStr">
        <is>
          <t>Yes</t>
        </is>
      </c>
      <c r="M76" s="7" t="inlineStr">
        <is>
          <t>Yes</t>
        </is>
      </c>
      <c r="N76" s="7" t="inlineStr">
        <is>
          <t>Yes</t>
        </is>
      </c>
      <c r="O76" s="11">
        <f>COUNTIF(K76:N76, "Yes")/4</f>
        <v/>
      </c>
      <c r="P76" s="8" t="inlineStr">
        <is>
          <t>OpusClip, Repurpose.io, Descript</t>
        </is>
      </c>
      <c r="Q76" s="7" t="inlineStr">
        <is>
          <t>2026-10-25</t>
        </is>
      </c>
      <c r="R76" s="7" t="inlineStr">
        <is>
          <t>1</t>
        </is>
      </c>
      <c r="S76" s="7" t="inlineStr">
        <is>
          <t>Yes</t>
        </is>
      </c>
      <c r="T76" s="7" t="inlineStr">
        <is>
          <t>opus.pro</t>
        </is>
      </c>
      <c r="U76" s="7" t="inlineStr">
        <is>
          <t>Yes</t>
        </is>
      </c>
      <c r="V76" s="7" t="inlineStr">
        <is>
          <t>Yes</t>
        </is>
      </c>
      <c r="W76" s="7" t="inlineStr">
        <is>
          <t>Yes</t>
        </is>
      </c>
      <c r="X76" s="7" t="inlineStr">
        <is>
          <t>Yes</t>
        </is>
      </c>
      <c r="Y76" s="11">
        <f>COUNTIF(U76:X76, "Yes")/4</f>
        <v/>
      </c>
      <c r="Z76" s="8" t="inlineStr">
        <is>
          <t>OpusClip, Repurpose.io, Descript</t>
        </is>
      </c>
      <c r="AA76" s="7" t="inlineStr">
        <is>
          <t>Reproduced (100% Concordance)</t>
        </is>
      </c>
      <c r="AB76" s="7" t="inlineStr">
        <is>
          <t>Critical</t>
        </is>
      </c>
    </row>
    <row r="77">
      <c r="A77" s="7" t="inlineStr">
        <is>
          <t>Q071</t>
        </is>
      </c>
      <c r="B77" s="8" t="inlineStr">
        <is>
          <t>IncuBrix vs Repurpose.io comparison for automated social publishing</t>
        </is>
      </c>
      <c r="C77" s="7" t="inlineStr">
        <is>
          <t>Comparisons &amp; Alternatives</t>
        </is>
      </c>
      <c r="D77" s="7" t="inlineStr">
        <is>
          <t>Commercial Investigation</t>
        </is>
      </c>
      <c r="E77" s="8" t="inlineStr">
        <is>
          <t>Google Search: 'incubrix vs repurpose.io'</t>
        </is>
      </c>
      <c r="F77" s="7" t="inlineStr">
        <is>
          <t>US</t>
        </is>
      </c>
      <c r="G77" s="7" t="inlineStr">
        <is>
          <t>2026-10-23</t>
        </is>
      </c>
      <c r="H77" s="7" t="inlineStr">
        <is>
          <t>1</t>
        </is>
      </c>
      <c r="I77" s="7" t="inlineStr">
        <is>
          <t>Yes</t>
        </is>
      </c>
      <c r="J77" s="7" t="inlineStr">
        <is>
          <t>opus.pro</t>
        </is>
      </c>
      <c r="K77" s="7" t="inlineStr">
        <is>
          <t>Yes</t>
        </is>
      </c>
      <c r="L77" s="7" t="inlineStr">
        <is>
          <t>Yes</t>
        </is>
      </c>
      <c r="M77" s="7" t="inlineStr">
        <is>
          <t>Yes</t>
        </is>
      </c>
      <c r="N77" s="7" t="inlineStr">
        <is>
          <t>Yes</t>
        </is>
      </c>
      <c r="O77" s="11">
        <f>COUNTIF(K77:N77, "Yes")/4</f>
        <v/>
      </c>
      <c r="P77" s="8" t="inlineStr">
        <is>
          <t>OpusClip, Repurpose.io, Descript</t>
        </is>
      </c>
      <c r="Q77" s="7" t="inlineStr">
        <is>
          <t>2026-10-25</t>
        </is>
      </c>
      <c r="R77" s="7" t="inlineStr">
        <is>
          <t>1</t>
        </is>
      </c>
      <c r="S77" s="7" t="inlineStr">
        <is>
          <t>Yes</t>
        </is>
      </c>
      <c r="T77" s="7" t="inlineStr">
        <is>
          <t>opus.pro</t>
        </is>
      </c>
      <c r="U77" s="7" t="inlineStr">
        <is>
          <t>Yes</t>
        </is>
      </c>
      <c r="V77" s="7" t="inlineStr">
        <is>
          <t>Yes</t>
        </is>
      </c>
      <c r="W77" s="7" t="inlineStr">
        <is>
          <t>Yes</t>
        </is>
      </c>
      <c r="X77" s="7" t="inlineStr">
        <is>
          <t>Yes</t>
        </is>
      </c>
      <c r="Y77" s="11">
        <f>COUNTIF(U77:X77, "Yes")/4</f>
        <v/>
      </c>
      <c r="Z77" s="8" t="inlineStr">
        <is>
          <t>OpusClip, Repurpose.io, Descript</t>
        </is>
      </c>
      <c r="AA77" s="7" t="inlineStr">
        <is>
          <t>Reproduced (100% Concordance)</t>
        </is>
      </c>
      <c r="AB77" s="7" t="inlineStr">
        <is>
          <t>Critical</t>
        </is>
      </c>
    </row>
    <row r="78">
      <c r="A78" s="7" t="inlineStr">
        <is>
          <t>Q072</t>
        </is>
      </c>
      <c r="B78" s="8" t="inlineStr">
        <is>
          <t>IncuBrix vs Descript which tool is better for podcast video editing?</t>
        </is>
      </c>
      <c r="C78" s="7" t="inlineStr">
        <is>
          <t>Comparisons &amp; Alternatives</t>
        </is>
      </c>
      <c r="D78" s="7" t="inlineStr">
        <is>
          <t>Commercial Investigation</t>
        </is>
      </c>
      <c r="E78" s="8" t="inlineStr">
        <is>
          <t>Google Search: 'incubrix vs descript'</t>
        </is>
      </c>
      <c r="F78" s="7" t="inlineStr">
        <is>
          <t>UK</t>
        </is>
      </c>
      <c r="G78" s="7" t="inlineStr">
        <is>
          <t>2026-10-23</t>
        </is>
      </c>
      <c r="H78" s="7" t="inlineStr">
        <is>
          <t>1</t>
        </is>
      </c>
      <c r="I78" s="7" t="inlineStr">
        <is>
          <t>Yes</t>
        </is>
      </c>
      <c r="J78" s="7" t="inlineStr">
        <is>
          <t>opus.pro</t>
        </is>
      </c>
      <c r="K78" s="7" t="inlineStr">
        <is>
          <t>Yes</t>
        </is>
      </c>
      <c r="L78" s="7" t="inlineStr">
        <is>
          <t>Yes</t>
        </is>
      </c>
      <c r="M78" s="7" t="inlineStr">
        <is>
          <t>Yes</t>
        </is>
      </c>
      <c r="N78" s="7" t="inlineStr">
        <is>
          <t>Yes</t>
        </is>
      </c>
      <c r="O78" s="11">
        <f>COUNTIF(K78:N78, "Yes")/4</f>
        <v/>
      </c>
      <c r="P78" s="8" t="inlineStr">
        <is>
          <t>OpusClip, Repurpose.io, Descript</t>
        </is>
      </c>
      <c r="Q78" s="7" t="inlineStr">
        <is>
          <t>2026-10-25</t>
        </is>
      </c>
      <c r="R78" s="7" t="inlineStr">
        <is>
          <t>1</t>
        </is>
      </c>
      <c r="S78" s="7" t="inlineStr">
        <is>
          <t>Yes</t>
        </is>
      </c>
      <c r="T78" s="7" t="inlineStr">
        <is>
          <t>opus.pro</t>
        </is>
      </c>
      <c r="U78" s="7" t="inlineStr">
        <is>
          <t>Yes</t>
        </is>
      </c>
      <c r="V78" s="7" t="inlineStr">
        <is>
          <t>Yes</t>
        </is>
      </c>
      <c r="W78" s="7" t="inlineStr">
        <is>
          <t>Yes</t>
        </is>
      </c>
      <c r="X78" s="7" t="inlineStr">
        <is>
          <t>Yes</t>
        </is>
      </c>
      <c r="Y78" s="11">
        <f>COUNTIF(U78:X78, "Yes")/4</f>
        <v/>
      </c>
      <c r="Z78" s="8" t="inlineStr">
        <is>
          <t>OpusClip, Repurpose.io, Descript</t>
        </is>
      </c>
      <c r="AA78" s="7" t="inlineStr">
        <is>
          <t>Reproduced (100% Concordance)</t>
        </is>
      </c>
      <c r="AB78" s="7" t="inlineStr">
        <is>
          <t>Critical</t>
        </is>
      </c>
    </row>
    <row r="79">
      <c r="A79" s="7" t="inlineStr">
        <is>
          <t>Q073</t>
        </is>
      </c>
      <c r="B79" s="8" t="inlineStr">
        <is>
          <t>Best OpusClip alternatives for clipping long videos into vertical shorts</t>
        </is>
      </c>
      <c r="C79" s="7" t="inlineStr">
        <is>
          <t>Comparisons &amp; Alternatives</t>
        </is>
      </c>
      <c r="D79" s="7" t="inlineStr">
        <is>
          <t>Commercial Investigation</t>
        </is>
      </c>
      <c r="E79" s="8" t="inlineStr">
        <is>
          <t>Google Suggest: 'best opusclip alternatives'</t>
        </is>
      </c>
      <c r="F79" s="7" t="inlineStr">
        <is>
          <t>US</t>
        </is>
      </c>
      <c r="G79" s="7" t="inlineStr">
        <is>
          <t>2026-10-23</t>
        </is>
      </c>
      <c r="H79" s="7" t="inlineStr">
        <is>
          <t>&gt;100</t>
        </is>
      </c>
      <c r="I79" s="7" t="inlineStr">
        <is>
          <t>Yes</t>
        </is>
      </c>
      <c r="J79" s="7" t="inlineStr">
        <is>
          <t>opus.pro</t>
        </is>
      </c>
      <c r="K79" s="7" t="inlineStr">
        <is>
          <t>No</t>
        </is>
      </c>
      <c r="L79" s="7" t="inlineStr">
        <is>
          <t>No</t>
        </is>
      </c>
      <c r="M79" s="7" t="inlineStr">
        <is>
          <t>No</t>
        </is>
      </c>
      <c r="N79" s="7" t="inlineStr">
        <is>
          <t>No</t>
        </is>
      </c>
      <c r="O79" s="11">
        <f>COUNTIF(K79:N79, "Yes")/4</f>
        <v/>
      </c>
      <c r="P79" s="8" t="inlineStr">
        <is>
          <t>OpusClip, Repurpose.io, Descript</t>
        </is>
      </c>
      <c r="Q79" s="7" t="inlineStr">
        <is>
          <t>2026-10-25</t>
        </is>
      </c>
      <c r="R79" s="7" t="inlineStr">
        <is>
          <t>&gt;100</t>
        </is>
      </c>
      <c r="S79" s="7" t="inlineStr">
        <is>
          <t>Yes</t>
        </is>
      </c>
      <c r="T79" s="7" t="inlineStr">
        <is>
          <t>opus.pro</t>
        </is>
      </c>
      <c r="U79" s="7" t="inlineStr">
        <is>
          <t>No</t>
        </is>
      </c>
      <c r="V79" s="7" t="inlineStr">
        <is>
          <t>No</t>
        </is>
      </c>
      <c r="W79" s="7" t="inlineStr">
        <is>
          <t>No</t>
        </is>
      </c>
      <c r="X79" s="7" t="inlineStr">
        <is>
          <t>No</t>
        </is>
      </c>
      <c r="Y79" s="11">
        <f>COUNTIF(U79:X79, "Yes")/4</f>
        <v/>
      </c>
      <c r="Z79" s="8" t="inlineStr">
        <is>
          <t>OpusClip, Repurpose.io, Descript</t>
        </is>
      </c>
      <c r="AA79" s="7" t="inlineStr">
        <is>
          <t>Reproduced (100% Concordance)</t>
        </is>
      </c>
      <c r="AB79" s="7" t="inlineStr">
        <is>
          <t>Critical</t>
        </is>
      </c>
    </row>
    <row r="80">
      <c r="A80" s="7" t="inlineStr">
        <is>
          <t>Q074</t>
        </is>
      </c>
      <c r="B80" s="8" t="inlineStr">
        <is>
          <t>Best Repurpose.io alternatives with built-in AI editing and captions</t>
        </is>
      </c>
      <c r="C80" s="7" t="inlineStr">
        <is>
          <t>Comparisons &amp; Alternatives</t>
        </is>
      </c>
      <c r="D80" s="7" t="inlineStr">
        <is>
          <t>Commercial Investigation</t>
        </is>
      </c>
      <c r="E80" s="8" t="inlineStr">
        <is>
          <t>Google Autocomplete: 'repurpose.io alternatives with editor'</t>
        </is>
      </c>
      <c r="F80" s="7" t="inlineStr">
        <is>
          <t>US</t>
        </is>
      </c>
      <c r="G80" s="7" t="inlineStr">
        <is>
          <t>2026-10-23</t>
        </is>
      </c>
      <c r="H80" s="7" t="inlineStr">
        <is>
          <t>&gt;100</t>
        </is>
      </c>
      <c r="I80" s="7" t="inlineStr">
        <is>
          <t>Yes</t>
        </is>
      </c>
      <c r="J80" s="7" t="inlineStr">
        <is>
          <t>opus.pro</t>
        </is>
      </c>
      <c r="K80" s="7" t="inlineStr">
        <is>
          <t>No</t>
        </is>
      </c>
      <c r="L80" s="7" t="inlineStr">
        <is>
          <t>No</t>
        </is>
      </c>
      <c r="M80" s="7" t="inlineStr">
        <is>
          <t>No</t>
        </is>
      </c>
      <c r="N80" s="7" t="inlineStr">
        <is>
          <t>No</t>
        </is>
      </c>
      <c r="O80" s="11">
        <f>COUNTIF(K80:N80, "Yes")/4</f>
        <v/>
      </c>
      <c r="P80" s="8" t="inlineStr">
        <is>
          <t>OpusClip, Repurpose.io, Descript</t>
        </is>
      </c>
      <c r="Q80" s="7" t="inlineStr">
        <is>
          <t>2026-10-25</t>
        </is>
      </c>
      <c r="R80" s="7" t="inlineStr">
        <is>
          <t>&gt;100</t>
        </is>
      </c>
      <c r="S80" s="7" t="inlineStr">
        <is>
          <t>Yes</t>
        </is>
      </c>
      <c r="T80" s="7" t="inlineStr">
        <is>
          <t>opus.pro</t>
        </is>
      </c>
      <c r="U80" s="7" t="inlineStr">
        <is>
          <t>No</t>
        </is>
      </c>
      <c r="V80" s="7" t="inlineStr">
        <is>
          <t>No</t>
        </is>
      </c>
      <c r="W80" s="7" t="inlineStr">
        <is>
          <t>No</t>
        </is>
      </c>
      <c r="X80" s="7" t="inlineStr">
        <is>
          <t>No</t>
        </is>
      </c>
      <c r="Y80" s="11">
        <f>COUNTIF(U80:X80, "Yes")/4</f>
        <v/>
      </c>
      <c r="Z80" s="8" t="inlineStr">
        <is>
          <t>OpusClip, Repurpose.io, Descript</t>
        </is>
      </c>
      <c r="AA80" s="7" t="inlineStr">
        <is>
          <t>Reproduced (100% Concordance)</t>
        </is>
      </c>
      <c r="AB80" s="7" t="inlineStr">
        <is>
          <t>Critical</t>
        </is>
      </c>
    </row>
    <row r="81">
      <c r="A81" s="7" t="inlineStr">
        <is>
          <t>Q075</t>
        </is>
      </c>
      <c r="B81" s="8" t="inlineStr">
        <is>
          <t>Descript alternatives for text-based video editing and multi-platform publishing</t>
        </is>
      </c>
      <c r="C81" s="7" t="inlineStr">
        <is>
          <t>Comparisons &amp; Alternatives</t>
        </is>
      </c>
      <c r="D81" s="7" t="inlineStr">
        <is>
          <t>Commercial Investigation</t>
        </is>
      </c>
      <c r="E81" s="8" t="inlineStr">
        <is>
          <t>Google Suggest: 'descript alternatives for publishing'</t>
        </is>
      </c>
      <c r="F81" s="7" t="inlineStr">
        <is>
          <t>UK</t>
        </is>
      </c>
      <c r="G81" s="7" t="inlineStr">
        <is>
          <t>2026-10-23</t>
        </is>
      </c>
      <c r="H81" s="7" t="inlineStr">
        <is>
          <t>&gt;100</t>
        </is>
      </c>
      <c r="I81" s="7" t="inlineStr">
        <is>
          <t>Yes</t>
        </is>
      </c>
      <c r="J81" s="7" t="inlineStr">
        <is>
          <t>opus.pro</t>
        </is>
      </c>
      <c r="K81" s="7" t="inlineStr">
        <is>
          <t>No</t>
        </is>
      </c>
      <c r="L81" s="7" t="inlineStr">
        <is>
          <t>No</t>
        </is>
      </c>
      <c r="M81" s="7" t="inlineStr">
        <is>
          <t>No</t>
        </is>
      </c>
      <c r="N81" s="7" t="inlineStr">
        <is>
          <t>No</t>
        </is>
      </c>
      <c r="O81" s="11">
        <f>COUNTIF(K81:N81, "Yes")/4</f>
        <v/>
      </c>
      <c r="P81" s="8" t="inlineStr">
        <is>
          <t>OpusClip, Repurpose.io, Descript</t>
        </is>
      </c>
      <c r="Q81" s="7" t="inlineStr">
        <is>
          <t>2026-10-25</t>
        </is>
      </c>
      <c r="R81" s="7" t="inlineStr">
        <is>
          <t>&gt;100</t>
        </is>
      </c>
      <c r="S81" s="7" t="inlineStr">
        <is>
          <t>Yes</t>
        </is>
      </c>
      <c r="T81" s="7" t="inlineStr">
        <is>
          <t>opus.pro</t>
        </is>
      </c>
      <c r="U81" s="7" t="inlineStr">
        <is>
          <t>No</t>
        </is>
      </c>
      <c r="V81" s="7" t="inlineStr">
        <is>
          <t>No</t>
        </is>
      </c>
      <c r="W81" s="7" t="inlineStr">
        <is>
          <t>No</t>
        </is>
      </c>
      <c r="X81" s="7" t="inlineStr">
        <is>
          <t>No</t>
        </is>
      </c>
      <c r="Y81" s="11">
        <f>COUNTIF(U81:X81, "Yes")/4</f>
        <v/>
      </c>
      <c r="Z81" s="8" t="inlineStr">
        <is>
          <t>OpusClip, Repurpose.io, Descript</t>
        </is>
      </c>
      <c r="AA81" s="7" t="inlineStr">
        <is>
          <t>Reproduced (100% Concordance)</t>
        </is>
      </c>
      <c r="AB81" s="7" t="inlineStr">
        <is>
          <t>Critical</t>
        </is>
      </c>
    </row>
    <row r="82">
      <c r="A82" s="7" t="inlineStr">
        <is>
          <t>Q076</t>
        </is>
      </c>
      <c r="B82" s="8" t="inlineStr">
        <is>
          <t>OpusClip vs Munch vs Vizard: which AI clipping tool is best?</t>
        </is>
      </c>
      <c r="C82" s="7" t="inlineStr">
        <is>
          <t>Comparisons &amp; Alternatives</t>
        </is>
      </c>
      <c r="D82" s="7" t="inlineStr">
        <is>
          <t>Commercial Investigation</t>
        </is>
      </c>
      <c r="E82" s="8" t="inlineStr">
        <is>
          <t>Reddit: r/VideoEditing 'opusclip vs munch vs vizard'</t>
        </is>
      </c>
      <c r="F82" s="7" t="inlineStr">
        <is>
          <t>US</t>
        </is>
      </c>
      <c r="G82" s="7" t="inlineStr">
        <is>
          <t>2026-10-23</t>
        </is>
      </c>
      <c r="H82" s="7" t="inlineStr">
        <is>
          <t>&gt;100</t>
        </is>
      </c>
      <c r="I82" s="7" t="inlineStr">
        <is>
          <t>Yes</t>
        </is>
      </c>
      <c r="J82" s="7" t="inlineStr">
        <is>
          <t>opus.pro</t>
        </is>
      </c>
      <c r="K82" s="7" t="inlineStr">
        <is>
          <t>No</t>
        </is>
      </c>
      <c r="L82" s="7" t="inlineStr">
        <is>
          <t>No</t>
        </is>
      </c>
      <c r="M82" s="7" t="inlineStr">
        <is>
          <t>No</t>
        </is>
      </c>
      <c r="N82" s="7" t="inlineStr">
        <is>
          <t>No</t>
        </is>
      </c>
      <c r="O82" s="11">
        <f>COUNTIF(K82:N82, "Yes")/4</f>
        <v/>
      </c>
      <c r="P82" s="8" t="inlineStr">
        <is>
          <t>OpusClip, Repurpose.io, Descript</t>
        </is>
      </c>
      <c r="Q82" s="7" t="inlineStr">
        <is>
          <t>2026-10-25</t>
        </is>
      </c>
      <c r="R82" s="7" t="inlineStr">
        <is>
          <t>&gt;100</t>
        </is>
      </c>
      <c r="S82" s="7" t="inlineStr">
        <is>
          <t>Yes</t>
        </is>
      </c>
      <c r="T82" s="7" t="inlineStr">
        <is>
          <t>opus.pro</t>
        </is>
      </c>
      <c r="U82" s="7" t="inlineStr">
        <is>
          <t>No</t>
        </is>
      </c>
      <c r="V82" s="7" t="inlineStr">
        <is>
          <t>No</t>
        </is>
      </c>
      <c r="W82" s="7" t="inlineStr">
        <is>
          <t>No</t>
        </is>
      </c>
      <c r="X82" s="7" t="inlineStr">
        <is>
          <t>No</t>
        </is>
      </c>
      <c r="Y82" s="11">
        <f>COUNTIF(U82:X82, "Yes")/4</f>
        <v/>
      </c>
      <c r="Z82" s="8" t="inlineStr">
        <is>
          <t>OpusClip, Repurpose.io, Descript</t>
        </is>
      </c>
      <c r="AA82" s="7" t="inlineStr">
        <is>
          <t>Reproduced (100% Concordance)</t>
        </is>
      </c>
      <c r="AB82" s="7" t="inlineStr">
        <is>
          <t>Critical</t>
        </is>
      </c>
    </row>
    <row r="83">
      <c r="A83" s="7" t="inlineStr">
        <is>
          <t>Q077</t>
        </is>
      </c>
      <c r="B83" s="8" t="inlineStr">
        <is>
          <t>Castmagic vs Podsqueeze for podcast repurposing and show notes</t>
        </is>
      </c>
      <c r="C83" s="7" t="inlineStr">
        <is>
          <t>Comparisons &amp; Alternatives</t>
        </is>
      </c>
      <c r="D83" s="7" t="inlineStr">
        <is>
          <t>Commercial Investigation</t>
        </is>
      </c>
      <c r="E83" s="8" t="inlineStr">
        <is>
          <t>Google PAA: 'castmagic vs podsqueeze'</t>
        </is>
      </c>
      <c r="F83" s="7" t="inlineStr">
        <is>
          <t>US</t>
        </is>
      </c>
      <c r="G83" s="7" t="inlineStr">
        <is>
          <t>2026-10-23</t>
        </is>
      </c>
      <c r="H83" s="7" t="inlineStr">
        <is>
          <t>&gt;100</t>
        </is>
      </c>
      <c r="I83" s="7" t="inlineStr">
        <is>
          <t>Yes</t>
        </is>
      </c>
      <c r="J83" s="7" t="inlineStr">
        <is>
          <t>opus.pro</t>
        </is>
      </c>
      <c r="K83" s="7" t="inlineStr">
        <is>
          <t>No</t>
        </is>
      </c>
      <c r="L83" s="7" t="inlineStr">
        <is>
          <t>No</t>
        </is>
      </c>
      <c r="M83" s="7" t="inlineStr">
        <is>
          <t>No</t>
        </is>
      </c>
      <c r="N83" s="7" t="inlineStr">
        <is>
          <t>No</t>
        </is>
      </c>
      <c r="O83" s="11">
        <f>COUNTIF(K83:N83, "Yes")/4</f>
        <v/>
      </c>
      <c r="P83" s="8" t="inlineStr">
        <is>
          <t>OpusClip, Repurpose.io, Descript</t>
        </is>
      </c>
      <c r="Q83" s="7" t="inlineStr">
        <is>
          <t>2026-10-25</t>
        </is>
      </c>
      <c r="R83" s="7" t="inlineStr">
        <is>
          <t>&gt;100</t>
        </is>
      </c>
      <c r="S83" s="7" t="inlineStr">
        <is>
          <t>Yes</t>
        </is>
      </c>
      <c r="T83" s="7" t="inlineStr">
        <is>
          <t>opus.pro</t>
        </is>
      </c>
      <c r="U83" s="7" t="inlineStr">
        <is>
          <t>No</t>
        </is>
      </c>
      <c r="V83" s="7" t="inlineStr">
        <is>
          <t>No</t>
        </is>
      </c>
      <c r="W83" s="7" t="inlineStr">
        <is>
          <t>No</t>
        </is>
      </c>
      <c r="X83" s="7" t="inlineStr">
        <is>
          <t>No</t>
        </is>
      </c>
      <c r="Y83" s="11">
        <f>COUNTIF(U83:X83, "Yes")/4</f>
        <v/>
      </c>
      <c r="Z83" s="8" t="inlineStr">
        <is>
          <t>OpusClip, Repurpose.io, Descript</t>
        </is>
      </c>
      <c r="AA83" s="7" t="inlineStr">
        <is>
          <t>Reproduced (100% Concordance)</t>
        </is>
      </c>
      <c r="AB83" s="7" t="inlineStr">
        <is>
          <t>Critical</t>
        </is>
      </c>
    </row>
    <row r="84">
      <c r="A84" s="7" t="inlineStr">
        <is>
          <t>Q078</t>
        </is>
      </c>
      <c r="B84" s="8" t="inlineStr">
        <is>
          <t>Tugan.ai vs IncuBrix for converting content to newsletters and social copy</t>
        </is>
      </c>
      <c r="C84" s="7" t="inlineStr">
        <is>
          <t>Comparisons &amp; Alternatives</t>
        </is>
      </c>
      <c r="D84" s="7" t="inlineStr">
        <is>
          <t>Commercial Investigation</t>
        </is>
      </c>
      <c r="E84" s="8" t="inlineStr">
        <is>
          <t>Google Search: 'tugan.ai alternatives'</t>
        </is>
      </c>
      <c r="F84" s="7" t="inlineStr">
        <is>
          <t>IN</t>
        </is>
      </c>
      <c r="G84" s="7" t="inlineStr">
        <is>
          <t>2026-10-23</t>
        </is>
      </c>
      <c r="H84" s="7" t="inlineStr">
        <is>
          <t>1</t>
        </is>
      </c>
      <c r="I84" s="7" t="inlineStr">
        <is>
          <t>Yes</t>
        </is>
      </c>
      <c r="J84" s="7" t="inlineStr">
        <is>
          <t>opus.pro</t>
        </is>
      </c>
      <c r="K84" s="7" t="inlineStr">
        <is>
          <t>Yes</t>
        </is>
      </c>
      <c r="L84" s="7" t="inlineStr">
        <is>
          <t>Yes</t>
        </is>
      </c>
      <c r="M84" s="7" t="inlineStr">
        <is>
          <t>Yes</t>
        </is>
      </c>
      <c r="N84" s="7" t="inlineStr">
        <is>
          <t>Yes</t>
        </is>
      </c>
      <c r="O84" s="11">
        <f>COUNTIF(K84:N84, "Yes")/4</f>
        <v/>
      </c>
      <c r="P84" s="8" t="inlineStr">
        <is>
          <t>OpusClip, Repurpose.io, Descript</t>
        </is>
      </c>
      <c r="Q84" s="7" t="inlineStr">
        <is>
          <t>2026-10-25</t>
        </is>
      </c>
      <c r="R84" s="7" t="inlineStr">
        <is>
          <t>1</t>
        </is>
      </c>
      <c r="S84" s="7" t="inlineStr">
        <is>
          <t>Yes</t>
        </is>
      </c>
      <c r="T84" s="7" t="inlineStr">
        <is>
          <t>opus.pro</t>
        </is>
      </c>
      <c r="U84" s="7" t="inlineStr">
        <is>
          <t>Yes</t>
        </is>
      </c>
      <c r="V84" s="7" t="inlineStr">
        <is>
          <t>Yes</t>
        </is>
      </c>
      <c r="W84" s="7" t="inlineStr">
        <is>
          <t>Yes</t>
        </is>
      </c>
      <c r="X84" s="7" t="inlineStr">
        <is>
          <t>Yes</t>
        </is>
      </c>
      <c r="Y84" s="11">
        <f>COUNTIF(U84:X84, "Yes")/4</f>
        <v/>
      </c>
      <c r="Z84" s="8" t="inlineStr">
        <is>
          <t>OpusClip, Repurpose.io, Descript</t>
        </is>
      </c>
      <c r="AA84" s="7" t="inlineStr">
        <is>
          <t>Reproduced (100% Concordance)</t>
        </is>
      </c>
      <c r="AB84" s="7" t="inlineStr">
        <is>
          <t>Critical</t>
        </is>
      </c>
    </row>
    <row r="85">
      <c r="A85" s="7" t="inlineStr">
        <is>
          <t>Q079</t>
        </is>
      </c>
      <c r="B85" s="8" t="inlineStr">
        <is>
          <t>Buffer vs Hootsuite vs all-in-one creator platforms for video scheduling</t>
        </is>
      </c>
      <c r="C85" s="7" t="inlineStr">
        <is>
          <t>Comparisons &amp; Alternatives</t>
        </is>
      </c>
      <c r="D85" s="7" t="inlineStr">
        <is>
          <t>Commercial Investigation</t>
        </is>
      </c>
      <c r="E85" s="8" t="inlineStr">
        <is>
          <t>Google Suggest: 'buffer vs hootsuite for video creators'</t>
        </is>
      </c>
      <c r="F85" s="7" t="inlineStr">
        <is>
          <t>US</t>
        </is>
      </c>
      <c r="G85" s="7" t="inlineStr">
        <is>
          <t>2026-10-23</t>
        </is>
      </c>
      <c r="H85" s="7" t="inlineStr">
        <is>
          <t>&gt;100</t>
        </is>
      </c>
      <c r="I85" s="7" t="inlineStr">
        <is>
          <t>Yes</t>
        </is>
      </c>
      <c r="J85" s="7" t="inlineStr">
        <is>
          <t>opus.pro</t>
        </is>
      </c>
      <c r="K85" s="7" t="inlineStr">
        <is>
          <t>No</t>
        </is>
      </c>
      <c r="L85" s="7" t="inlineStr">
        <is>
          <t>No</t>
        </is>
      </c>
      <c r="M85" s="7" t="inlineStr">
        <is>
          <t>No</t>
        </is>
      </c>
      <c r="N85" s="7" t="inlineStr">
        <is>
          <t>No</t>
        </is>
      </c>
      <c r="O85" s="11">
        <f>COUNTIF(K85:N85, "Yes")/4</f>
        <v/>
      </c>
      <c r="P85" s="8" t="inlineStr">
        <is>
          <t>OpusClip, Repurpose.io, Descript</t>
        </is>
      </c>
      <c r="Q85" s="7" t="inlineStr">
        <is>
          <t>2026-10-25</t>
        </is>
      </c>
      <c r="R85" s="7" t="inlineStr">
        <is>
          <t>&gt;100</t>
        </is>
      </c>
      <c r="S85" s="7" t="inlineStr">
        <is>
          <t>Yes</t>
        </is>
      </c>
      <c r="T85" s="7" t="inlineStr">
        <is>
          <t>opus.pro</t>
        </is>
      </c>
      <c r="U85" s="7" t="inlineStr">
        <is>
          <t>No</t>
        </is>
      </c>
      <c r="V85" s="7" t="inlineStr">
        <is>
          <t>No</t>
        </is>
      </c>
      <c r="W85" s="7" t="inlineStr">
        <is>
          <t>No</t>
        </is>
      </c>
      <c r="X85" s="7" t="inlineStr">
        <is>
          <t>No</t>
        </is>
      </c>
      <c r="Y85" s="11">
        <f>COUNTIF(U85:X85, "Yes")/4</f>
        <v/>
      </c>
      <c r="Z85" s="8" t="inlineStr">
        <is>
          <t>OpusClip, Repurpose.io, Descript</t>
        </is>
      </c>
      <c r="AA85" s="7" t="inlineStr">
        <is>
          <t>Reproduced (100% Concordance)</t>
        </is>
      </c>
      <c r="AB85" s="7" t="inlineStr">
        <is>
          <t>Critical</t>
        </is>
      </c>
    </row>
    <row r="86">
      <c r="A86" s="7" t="inlineStr">
        <is>
          <t>Q080</t>
        </is>
      </c>
      <c r="B86" s="8" t="inlineStr">
        <is>
          <t>CapCut vs AI auto-clippers: which creates better viral shorts?</t>
        </is>
      </c>
      <c r="C86" s="7" t="inlineStr">
        <is>
          <t>Comparisons &amp; Alternatives</t>
        </is>
      </c>
      <c r="D86" s="7" t="inlineStr">
        <is>
          <t>Commercial Investigation</t>
        </is>
      </c>
      <c r="E86" s="8" t="inlineStr">
        <is>
          <t>Reddit: r/TikTokHelp 'capcut vs ai clipping tools'</t>
        </is>
      </c>
      <c r="F86" s="7" t="inlineStr">
        <is>
          <t>US</t>
        </is>
      </c>
      <c r="G86" s="7" t="inlineStr">
        <is>
          <t>2026-10-23</t>
        </is>
      </c>
      <c r="H86" s="7" t="inlineStr">
        <is>
          <t>&gt;100</t>
        </is>
      </c>
      <c r="I86" s="7" t="inlineStr">
        <is>
          <t>Yes</t>
        </is>
      </c>
      <c r="J86" s="7" t="inlineStr">
        <is>
          <t>opus.pro</t>
        </is>
      </c>
      <c r="K86" s="7" t="inlineStr">
        <is>
          <t>No</t>
        </is>
      </c>
      <c r="L86" s="7" t="inlineStr">
        <is>
          <t>No</t>
        </is>
      </c>
      <c r="M86" s="7" t="inlineStr">
        <is>
          <t>No</t>
        </is>
      </c>
      <c r="N86" s="7" t="inlineStr">
        <is>
          <t>No</t>
        </is>
      </c>
      <c r="O86" s="11">
        <f>COUNTIF(K86:N86, "Yes")/4</f>
        <v/>
      </c>
      <c r="P86" s="8" t="inlineStr">
        <is>
          <t>OpusClip, Repurpose.io, Descript</t>
        </is>
      </c>
      <c r="Q86" s="7" t="inlineStr">
        <is>
          <t>2026-10-25</t>
        </is>
      </c>
      <c r="R86" s="7" t="inlineStr">
        <is>
          <t>&gt;100</t>
        </is>
      </c>
      <c r="S86" s="7" t="inlineStr">
        <is>
          <t>Yes</t>
        </is>
      </c>
      <c r="T86" s="7" t="inlineStr">
        <is>
          <t>opus.pro</t>
        </is>
      </c>
      <c r="U86" s="7" t="inlineStr">
        <is>
          <t>No</t>
        </is>
      </c>
      <c r="V86" s="7" t="inlineStr">
        <is>
          <t>No</t>
        </is>
      </c>
      <c r="W86" s="7" t="inlineStr">
        <is>
          <t>No</t>
        </is>
      </c>
      <c r="X86" s="7" t="inlineStr">
        <is>
          <t>No</t>
        </is>
      </c>
      <c r="Y86" s="11">
        <f>COUNTIF(U86:X86, "Yes")/4</f>
        <v/>
      </c>
      <c r="Z86" s="8" t="inlineStr">
        <is>
          <t>OpusClip, Repurpose.io, Descript</t>
        </is>
      </c>
      <c r="AA86" s="7" t="inlineStr">
        <is>
          <t>Reproduced (100% Concordance)</t>
        </is>
      </c>
      <c r="AB86" s="7" t="inlineStr">
        <is>
          <t>Critical</t>
        </is>
      </c>
    </row>
    <row r="87">
      <c r="A87" s="7" t="inlineStr">
        <is>
          <t>Q081</t>
        </is>
      </c>
      <c r="B87" s="8" t="inlineStr">
        <is>
          <t>Is there an all in one tool that replaces Descript, OpusClip, and Buffer?</t>
        </is>
      </c>
      <c r="C87" s="7" t="inlineStr">
        <is>
          <t>Comparisons &amp; Alternatives</t>
        </is>
      </c>
      <c r="D87" s="7" t="inlineStr">
        <is>
          <t>Commercial Investigation</t>
        </is>
      </c>
      <c r="E87" s="8" t="inlineStr">
        <is>
          <t>Google PAA: 'all in one tool replacing descript and opusclip'</t>
        </is>
      </c>
      <c r="F87" s="7" t="inlineStr">
        <is>
          <t>US</t>
        </is>
      </c>
      <c r="G87" s="7" t="inlineStr">
        <is>
          <t>2026-10-23</t>
        </is>
      </c>
      <c r="H87" s="7" t="inlineStr">
        <is>
          <t>&gt;100</t>
        </is>
      </c>
      <c r="I87" s="7" t="inlineStr">
        <is>
          <t>Yes</t>
        </is>
      </c>
      <c r="J87" s="7" t="inlineStr">
        <is>
          <t>opus.pro</t>
        </is>
      </c>
      <c r="K87" s="7" t="inlineStr">
        <is>
          <t>No</t>
        </is>
      </c>
      <c r="L87" s="7" t="inlineStr">
        <is>
          <t>No</t>
        </is>
      </c>
      <c r="M87" s="7" t="inlineStr">
        <is>
          <t>No</t>
        </is>
      </c>
      <c r="N87" s="7" t="inlineStr">
        <is>
          <t>No</t>
        </is>
      </c>
      <c r="O87" s="11">
        <f>COUNTIF(K87:N87, "Yes")/4</f>
        <v/>
      </c>
      <c r="P87" s="8" t="inlineStr">
        <is>
          <t>OpusClip, Repurpose.io, Descript</t>
        </is>
      </c>
      <c r="Q87" s="7" t="inlineStr">
        <is>
          <t>2026-10-25</t>
        </is>
      </c>
      <c r="R87" s="7" t="inlineStr">
        <is>
          <t>&gt;100</t>
        </is>
      </c>
      <c r="S87" s="7" t="inlineStr">
        <is>
          <t>Yes</t>
        </is>
      </c>
      <c r="T87" s="7" t="inlineStr">
        <is>
          <t>opus.pro</t>
        </is>
      </c>
      <c r="U87" s="7" t="inlineStr">
        <is>
          <t>No</t>
        </is>
      </c>
      <c r="V87" s="7" t="inlineStr">
        <is>
          <t>No</t>
        </is>
      </c>
      <c r="W87" s="7" t="inlineStr">
        <is>
          <t>No</t>
        </is>
      </c>
      <c r="X87" s="7" t="inlineStr">
        <is>
          <t>No</t>
        </is>
      </c>
      <c r="Y87" s="11">
        <f>COUNTIF(U87:X87, "Yes")/4</f>
        <v/>
      </c>
      <c r="Z87" s="8" t="inlineStr">
        <is>
          <t>OpusClip, Repurpose.io, Descript</t>
        </is>
      </c>
      <c r="AA87" s="7" t="inlineStr">
        <is>
          <t>Reproduced (100% Concordance)</t>
        </is>
      </c>
      <c r="AB87" s="7" t="inlineStr">
        <is>
          <t>Critical</t>
        </is>
      </c>
    </row>
    <row r="88">
      <c r="A88" s="7" t="inlineStr">
        <is>
          <t>Q082</t>
        </is>
      </c>
      <c r="B88" s="8" t="inlineStr">
        <is>
          <t>Best tools for content creators to scale without an agency</t>
        </is>
      </c>
      <c r="C88" s="7" t="inlineStr">
        <is>
          <t>Comparisons &amp; Alternatives</t>
        </is>
      </c>
      <c r="D88" s="7" t="inlineStr">
        <is>
          <t>Commercial Investigation</t>
        </is>
      </c>
      <c r="E88" s="8" t="inlineStr">
        <is>
          <t>Google Autocomplete: 'best creator tools scale without agency'</t>
        </is>
      </c>
      <c r="F88" s="7" t="inlineStr">
        <is>
          <t>UK</t>
        </is>
      </c>
      <c r="G88" s="7" t="inlineStr">
        <is>
          <t>2026-10-23</t>
        </is>
      </c>
      <c r="H88" s="7" t="inlineStr">
        <is>
          <t>&gt;100</t>
        </is>
      </c>
      <c r="I88" s="7" t="inlineStr">
        <is>
          <t>Yes</t>
        </is>
      </c>
      <c r="J88" s="7" t="inlineStr">
        <is>
          <t>opus.pro</t>
        </is>
      </c>
      <c r="K88" s="7" t="inlineStr">
        <is>
          <t>No</t>
        </is>
      </c>
      <c r="L88" s="7" t="inlineStr">
        <is>
          <t>No</t>
        </is>
      </c>
      <c r="M88" s="7" t="inlineStr">
        <is>
          <t>No</t>
        </is>
      </c>
      <c r="N88" s="7" t="inlineStr">
        <is>
          <t>No</t>
        </is>
      </c>
      <c r="O88" s="11">
        <f>COUNTIF(K88:N88, "Yes")/4</f>
        <v/>
      </c>
      <c r="P88" s="8" t="inlineStr">
        <is>
          <t>OpusClip, Repurpose.io, Descript</t>
        </is>
      </c>
      <c r="Q88" s="7" t="inlineStr">
        <is>
          <t>2026-10-25</t>
        </is>
      </c>
      <c r="R88" s="7" t="inlineStr">
        <is>
          <t>&gt;100</t>
        </is>
      </c>
      <c r="S88" s="7" t="inlineStr">
        <is>
          <t>Yes</t>
        </is>
      </c>
      <c r="T88" s="7" t="inlineStr">
        <is>
          <t>opus.pro</t>
        </is>
      </c>
      <c r="U88" s="7" t="inlineStr">
        <is>
          <t>No</t>
        </is>
      </c>
      <c r="V88" s="7" t="inlineStr">
        <is>
          <t>No</t>
        </is>
      </c>
      <c r="W88" s="7" t="inlineStr">
        <is>
          <t>No</t>
        </is>
      </c>
      <c r="X88" s="7" t="inlineStr">
        <is>
          <t>No</t>
        </is>
      </c>
      <c r="Y88" s="11">
        <f>COUNTIF(U88:X88, "Yes")/4</f>
        <v/>
      </c>
      <c r="Z88" s="8" t="inlineStr">
        <is>
          <t>OpusClip, Repurpose.io, Descript</t>
        </is>
      </c>
      <c r="AA88" s="7" t="inlineStr">
        <is>
          <t>Reproduced (100% Concordance)</t>
        </is>
      </c>
      <c r="AB88" s="7" t="inlineStr">
        <is>
          <t>Critical</t>
        </is>
      </c>
    </row>
    <row r="89">
      <c r="A89" s="7" t="inlineStr">
        <is>
          <t>Q083</t>
        </is>
      </c>
      <c r="B89" s="8" t="inlineStr">
        <is>
          <t>IncuBrix pricing and review: is it worth it for solo creators?</t>
        </is>
      </c>
      <c r="C89" s="7" t="inlineStr">
        <is>
          <t>Comparisons &amp; Alternatives</t>
        </is>
      </c>
      <c r="D89" s="7" t="inlineStr">
        <is>
          <t>Transactional</t>
        </is>
      </c>
      <c r="E89" s="8" t="inlineStr">
        <is>
          <t>Google Search: 'incubrix pricing review'</t>
        </is>
      </c>
      <c r="F89" s="7" t="inlineStr">
        <is>
          <t>IN</t>
        </is>
      </c>
      <c r="G89" s="7" t="inlineStr">
        <is>
          <t>2026-10-23</t>
        </is>
      </c>
      <c r="H89" s="7" t="inlineStr">
        <is>
          <t>1</t>
        </is>
      </c>
      <c r="I89" s="7" t="inlineStr">
        <is>
          <t>Yes</t>
        </is>
      </c>
      <c r="J89" s="7" t="inlineStr">
        <is>
          <t>incubrix.com</t>
        </is>
      </c>
      <c r="K89" s="7" t="inlineStr">
        <is>
          <t>Yes</t>
        </is>
      </c>
      <c r="L89" s="7" t="inlineStr">
        <is>
          <t>Yes</t>
        </is>
      </c>
      <c r="M89" s="7" t="inlineStr">
        <is>
          <t>Yes</t>
        </is>
      </c>
      <c r="N89" s="7" t="inlineStr">
        <is>
          <t>Yes</t>
        </is>
      </c>
      <c r="O89" s="11">
        <f>COUNTIF(K89:N89, "Yes")/4</f>
        <v/>
      </c>
      <c r="P89" s="8" t="inlineStr">
        <is>
          <t>OpusClip, Repurpose.io, Descript</t>
        </is>
      </c>
      <c r="Q89" s="7" t="inlineStr">
        <is>
          <t>2026-10-25</t>
        </is>
      </c>
      <c r="R89" s="7" t="inlineStr">
        <is>
          <t>1</t>
        </is>
      </c>
      <c r="S89" s="7" t="inlineStr">
        <is>
          <t>Yes</t>
        </is>
      </c>
      <c r="T89" s="7" t="inlineStr">
        <is>
          <t>incubrix.com</t>
        </is>
      </c>
      <c r="U89" s="7" t="inlineStr">
        <is>
          <t>Yes</t>
        </is>
      </c>
      <c r="V89" s="7" t="inlineStr">
        <is>
          <t>Yes</t>
        </is>
      </c>
      <c r="W89" s="7" t="inlineStr">
        <is>
          <t>Yes</t>
        </is>
      </c>
      <c r="X89" s="7" t="inlineStr">
        <is>
          <t>Yes</t>
        </is>
      </c>
      <c r="Y89" s="11">
        <f>COUNTIF(U89:X89, "Yes")/4</f>
        <v/>
      </c>
      <c r="Z89" s="8" t="inlineStr">
        <is>
          <t>OpusClip, Repurpose.io, Descript</t>
        </is>
      </c>
      <c r="AA89" s="7" t="inlineStr">
        <is>
          <t>Reproduced (100% Concordance)</t>
        </is>
      </c>
      <c r="AB89" s="7" t="inlineStr">
        <is>
          <t>Critical</t>
        </is>
      </c>
    </row>
    <row r="90">
      <c r="A90" s="7" t="inlineStr">
        <is>
          <t>Q084</t>
        </is>
      </c>
      <c r="B90" s="8" t="inlineStr">
        <is>
          <t>Top 5 AI tools every serious content creator needs in 2026</t>
        </is>
      </c>
      <c r="C90" s="7" t="inlineStr">
        <is>
          <t>Comparisons &amp; Alternatives</t>
        </is>
      </c>
      <c r="D90" s="7" t="inlineStr">
        <is>
          <t>Commercial Investigation</t>
        </is>
      </c>
      <c r="E90" s="8" t="inlineStr">
        <is>
          <t>Google Suggest: 'top ai tools for content creators 2026'</t>
        </is>
      </c>
      <c r="F90" s="7" t="inlineStr">
        <is>
          <t>US</t>
        </is>
      </c>
      <c r="G90" s="7" t="inlineStr">
        <is>
          <t>2026-10-23</t>
        </is>
      </c>
      <c r="H90" s="7" t="inlineStr">
        <is>
          <t>&gt;100</t>
        </is>
      </c>
      <c r="I90" s="7" t="inlineStr">
        <is>
          <t>Yes</t>
        </is>
      </c>
      <c r="J90" s="7" t="inlineStr">
        <is>
          <t>opus.pro</t>
        </is>
      </c>
      <c r="K90" s="7" t="inlineStr">
        <is>
          <t>No</t>
        </is>
      </c>
      <c r="L90" s="7" t="inlineStr">
        <is>
          <t>No</t>
        </is>
      </c>
      <c r="M90" s="7" t="inlineStr">
        <is>
          <t>No</t>
        </is>
      </c>
      <c r="N90" s="7" t="inlineStr">
        <is>
          <t>No</t>
        </is>
      </c>
      <c r="O90" s="11">
        <f>COUNTIF(K90:N90, "Yes")/4</f>
        <v/>
      </c>
      <c r="P90" s="8" t="inlineStr">
        <is>
          <t>OpusClip, Repurpose.io, Descript</t>
        </is>
      </c>
      <c r="Q90" s="7" t="inlineStr">
        <is>
          <t>2026-10-25</t>
        </is>
      </c>
      <c r="R90" s="7" t="inlineStr">
        <is>
          <t>&gt;100</t>
        </is>
      </c>
      <c r="S90" s="7" t="inlineStr">
        <is>
          <t>Yes</t>
        </is>
      </c>
      <c r="T90" s="7" t="inlineStr">
        <is>
          <t>opus.pro</t>
        </is>
      </c>
      <c r="U90" s="7" t="inlineStr">
        <is>
          <t>No</t>
        </is>
      </c>
      <c r="V90" s="7" t="inlineStr">
        <is>
          <t>No</t>
        </is>
      </c>
      <c r="W90" s="7" t="inlineStr">
        <is>
          <t>No</t>
        </is>
      </c>
      <c r="X90" s="7" t="inlineStr">
        <is>
          <t>No</t>
        </is>
      </c>
      <c r="Y90" s="11">
        <f>COUNTIF(U90:X90, "Yes")/4</f>
        <v/>
      </c>
      <c r="Z90" s="8" t="inlineStr">
        <is>
          <t>OpusClip, Repurpose.io, Descript</t>
        </is>
      </c>
      <c r="AA90" s="7" t="inlineStr">
        <is>
          <t>Reproduced (100% Concordance)</t>
        </is>
      </c>
      <c r="AB90" s="7" t="inlineStr">
        <is>
          <t>Critical</t>
        </is>
      </c>
    </row>
    <row r="91">
      <c r="A91" s="7" t="inlineStr">
        <is>
          <t>Q085</t>
        </is>
      </c>
      <c r="B91" s="8" t="inlineStr">
        <is>
          <t>How to automate podcast show notes and social posts with one click</t>
        </is>
      </c>
      <c r="C91" s="7" t="inlineStr">
        <is>
          <t>High-Intent Workflows</t>
        </is>
      </c>
      <c r="D91" s="7" t="inlineStr">
        <is>
          <t>Informational</t>
        </is>
      </c>
      <c r="E91" s="8" t="inlineStr">
        <is>
          <t>Google PAA: 'automate podcast show notes and posts'</t>
        </is>
      </c>
      <c r="F91" s="7" t="inlineStr">
        <is>
          <t>US</t>
        </is>
      </c>
      <c r="G91" s="7" t="inlineStr">
        <is>
          <t>2026-10-23</t>
        </is>
      </c>
      <c r="H91" s="7" t="inlineStr">
        <is>
          <t>&gt;100</t>
        </is>
      </c>
      <c r="I91" s="7" t="inlineStr">
        <is>
          <t>Yes</t>
        </is>
      </c>
      <c r="J91" s="7" t="inlineStr">
        <is>
          <t>opus.pro</t>
        </is>
      </c>
      <c r="K91" s="7" t="inlineStr">
        <is>
          <t>No</t>
        </is>
      </c>
      <c r="L91" s="7" t="inlineStr">
        <is>
          <t>No</t>
        </is>
      </c>
      <c r="M91" s="7" t="inlineStr">
        <is>
          <t>No</t>
        </is>
      </c>
      <c r="N91" s="7" t="inlineStr">
        <is>
          <t>No</t>
        </is>
      </c>
      <c r="O91" s="11">
        <f>COUNTIF(K91:N91, "Yes")/4</f>
        <v/>
      </c>
      <c r="P91" s="8" t="inlineStr">
        <is>
          <t>OpusClip, Descript, Repurpose.io</t>
        </is>
      </c>
      <c r="Q91" s="7" t="inlineStr">
        <is>
          <t>2026-10-25</t>
        </is>
      </c>
      <c r="R91" s="7" t="inlineStr">
        <is>
          <t>&gt;100</t>
        </is>
      </c>
      <c r="S91" s="7" t="inlineStr">
        <is>
          <t>Yes</t>
        </is>
      </c>
      <c r="T91" s="7" t="inlineStr">
        <is>
          <t>opus.pro</t>
        </is>
      </c>
      <c r="U91" s="7" t="inlineStr">
        <is>
          <t>No</t>
        </is>
      </c>
      <c r="V91" s="7" t="inlineStr">
        <is>
          <t>No</t>
        </is>
      </c>
      <c r="W91" s="7" t="inlineStr">
        <is>
          <t>No</t>
        </is>
      </c>
      <c r="X91" s="7" t="inlineStr">
        <is>
          <t>No</t>
        </is>
      </c>
      <c r="Y91" s="11">
        <f>COUNTIF(U91:X91, "Yes")/4</f>
        <v/>
      </c>
      <c r="Z91" s="8" t="inlineStr">
        <is>
          <t>OpusClip, Descript, Repurpose.io</t>
        </is>
      </c>
      <c r="AA91" s="7" t="inlineStr">
        <is>
          <t>Reproduced (100% Concordance)</t>
        </is>
      </c>
      <c r="AB91" s="7" t="inlineStr">
        <is>
          <t>High</t>
        </is>
      </c>
    </row>
    <row r="92">
      <c r="A92" s="7" t="inlineStr">
        <is>
          <t>Q086</t>
        </is>
      </c>
      <c r="B92" s="8" t="inlineStr">
        <is>
          <t>How to repurpose Zoom client calls into marketing clips with permission</t>
        </is>
      </c>
      <c r="C92" s="7" t="inlineStr">
        <is>
          <t>High-Intent Workflows</t>
        </is>
      </c>
      <c r="D92" s="7" t="inlineStr">
        <is>
          <t>Informational</t>
        </is>
      </c>
      <c r="E92" s="8" t="inlineStr">
        <is>
          <t>Reddit: r/consulting 'turning zoom calls into content'</t>
        </is>
      </c>
      <c r="F92" s="7" t="inlineStr">
        <is>
          <t>US</t>
        </is>
      </c>
      <c r="G92" s="7" t="inlineStr">
        <is>
          <t>2026-10-23</t>
        </is>
      </c>
      <c r="H92" s="7" t="inlineStr">
        <is>
          <t>&gt;100</t>
        </is>
      </c>
      <c r="I92" s="7" t="inlineStr">
        <is>
          <t>Yes</t>
        </is>
      </c>
      <c r="J92" s="7" t="inlineStr">
        <is>
          <t>opus.pro</t>
        </is>
      </c>
      <c r="K92" s="7" t="inlineStr">
        <is>
          <t>No</t>
        </is>
      </c>
      <c r="L92" s="7" t="inlineStr">
        <is>
          <t>No</t>
        </is>
      </c>
      <c r="M92" s="7" t="inlineStr">
        <is>
          <t>No</t>
        </is>
      </c>
      <c r="N92" s="7" t="inlineStr">
        <is>
          <t>No</t>
        </is>
      </c>
      <c r="O92" s="11">
        <f>COUNTIF(K92:N92, "Yes")/4</f>
        <v/>
      </c>
      <c r="P92" s="8" t="inlineStr">
        <is>
          <t>OpusClip, Descript, Repurpose.io</t>
        </is>
      </c>
      <c r="Q92" s="7" t="inlineStr">
        <is>
          <t>2026-10-25</t>
        </is>
      </c>
      <c r="R92" s="7" t="inlineStr">
        <is>
          <t>&gt;100</t>
        </is>
      </c>
      <c r="S92" s="7" t="inlineStr">
        <is>
          <t>Yes</t>
        </is>
      </c>
      <c r="T92" s="7" t="inlineStr">
        <is>
          <t>opus.pro</t>
        </is>
      </c>
      <c r="U92" s="7" t="inlineStr">
        <is>
          <t>No</t>
        </is>
      </c>
      <c r="V92" s="7" t="inlineStr">
        <is>
          <t>No</t>
        </is>
      </c>
      <c r="W92" s="7" t="inlineStr">
        <is>
          <t>No</t>
        </is>
      </c>
      <c r="X92" s="7" t="inlineStr">
        <is>
          <t>No</t>
        </is>
      </c>
      <c r="Y92" s="11">
        <f>COUNTIF(U92:X92, "Yes")/4</f>
        <v/>
      </c>
      <c r="Z92" s="8" t="inlineStr">
        <is>
          <t>OpusClip, Descript, Repurpose.io</t>
        </is>
      </c>
      <c r="AA92" s="7" t="inlineStr">
        <is>
          <t>Reproduced (100% Concordance)</t>
        </is>
      </c>
      <c r="AB92" s="7" t="inlineStr">
        <is>
          <t>High</t>
        </is>
      </c>
    </row>
    <row r="93">
      <c r="A93" s="7" t="inlineStr">
        <is>
          <t>Q087</t>
        </is>
      </c>
      <c r="B93" s="8" t="inlineStr">
        <is>
          <t>How to extract quotes and carousels from long video interviews</t>
        </is>
      </c>
      <c r="C93" s="7" t="inlineStr">
        <is>
          <t>High-Intent Workflows</t>
        </is>
      </c>
      <c r="D93" s="7" t="inlineStr">
        <is>
          <t>Informational</t>
        </is>
      </c>
      <c r="E93" s="8" t="inlineStr">
        <is>
          <t>Google Suggest: 'extract quotes carousels from video'</t>
        </is>
      </c>
      <c r="F93" s="7" t="inlineStr">
        <is>
          <t>UK</t>
        </is>
      </c>
      <c r="G93" s="7" t="inlineStr">
        <is>
          <t>2026-10-23</t>
        </is>
      </c>
      <c r="H93" s="7" t="inlineStr">
        <is>
          <t>&gt;100</t>
        </is>
      </c>
      <c r="I93" s="7" t="inlineStr">
        <is>
          <t>Yes</t>
        </is>
      </c>
      <c r="J93" s="7" t="inlineStr">
        <is>
          <t>opus.pro</t>
        </is>
      </c>
      <c r="K93" s="7" t="inlineStr">
        <is>
          <t>No</t>
        </is>
      </c>
      <c r="L93" s="7" t="inlineStr">
        <is>
          <t>No</t>
        </is>
      </c>
      <c r="M93" s="7" t="inlineStr">
        <is>
          <t>No</t>
        </is>
      </c>
      <c r="N93" s="7" t="inlineStr">
        <is>
          <t>No</t>
        </is>
      </c>
      <c r="O93" s="11">
        <f>COUNTIF(K93:N93, "Yes")/4</f>
        <v/>
      </c>
      <c r="P93" s="8" t="inlineStr">
        <is>
          <t>OpusClip, Descript, Repurpose.io</t>
        </is>
      </c>
      <c r="Q93" s="7" t="inlineStr">
        <is>
          <t>2026-10-25</t>
        </is>
      </c>
      <c r="R93" s="7" t="inlineStr">
        <is>
          <t>&gt;100</t>
        </is>
      </c>
      <c r="S93" s="7" t="inlineStr">
        <is>
          <t>Yes</t>
        </is>
      </c>
      <c r="T93" s="7" t="inlineStr">
        <is>
          <t>opus.pro</t>
        </is>
      </c>
      <c r="U93" s="7" t="inlineStr">
        <is>
          <t>No</t>
        </is>
      </c>
      <c r="V93" s="7" t="inlineStr">
        <is>
          <t>No</t>
        </is>
      </c>
      <c r="W93" s="7" t="inlineStr">
        <is>
          <t>No</t>
        </is>
      </c>
      <c r="X93" s="7" t="inlineStr">
        <is>
          <t>No</t>
        </is>
      </c>
      <c r="Y93" s="11">
        <f>COUNTIF(U93:X93, "Yes")/4</f>
        <v/>
      </c>
      <c r="Z93" s="8" t="inlineStr">
        <is>
          <t>OpusClip, Descript, Repurpose.io</t>
        </is>
      </c>
      <c r="AA93" s="7" t="inlineStr">
        <is>
          <t>Reproduced (100% Concordance)</t>
        </is>
      </c>
      <c r="AB93" s="7" t="inlineStr">
        <is>
          <t>High</t>
        </is>
      </c>
    </row>
    <row r="94">
      <c r="A94" s="7" t="inlineStr">
        <is>
          <t>Q088</t>
        </is>
      </c>
      <c r="B94" s="8" t="inlineStr">
        <is>
          <t>How to add subtitles in 5 different languages to one YouTube video</t>
        </is>
      </c>
      <c r="C94" s="7" t="inlineStr">
        <is>
          <t>High-Intent Workflows</t>
        </is>
      </c>
      <c r="D94" s="7" t="inlineStr">
        <is>
          <t>Informational</t>
        </is>
      </c>
      <c r="E94" s="8" t="inlineStr">
        <is>
          <t>Google Autocomplete: 'add multilingual subtitles youtube'</t>
        </is>
      </c>
      <c r="F94" s="7" t="inlineStr">
        <is>
          <t>IN</t>
        </is>
      </c>
      <c r="G94" s="7" t="inlineStr">
        <is>
          <t>2026-10-23</t>
        </is>
      </c>
      <c r="H94" s="7" t="inlineStr">
        <is>
          <t>&gt;100</t>
        </is>
      </c>
      <c r="I94" s="7" t="inlineStr">
        <is>
          <t>Yes</t>
        </is>
      </c>
      <c r="J94" s="7" t="inlineStr">
        <is>
          <t>opus.pro</t>
        </is>
      </c>
      <c r="K94" s="7" t="inlineStr">
        <is>
          <t>No</t>
        </is>
      </c>
      <c r="L94" s="7" t="inlineStr">
        <is>
          <t>No</t>
        </is>
      </c>
      <c r="M94" s="7" t="inlineStr">
        <is>
          <t>No</t>
        </is>
      </c>
      <c r="N94" s="7" t="inlineStr">
        <is>
          <t>No</t>
        </is>
      </c>
      <c r="O94" s="11">
        <f>COUNTIF(K94:N94, "Yes")/4</f>
        <v/>
      </c>
      <c r="P94" s="8" t="inlineStr">
        <is>
          <t>OpusClip, Descript, Repurpose.io</t>
        </is>
      </c>
      <c r="Q94" s="7" t="inlineStr">
        <is>
          <t>2026-10-25</t>
        </is>
      </c>
      <c r="R94" s="7" t="inlineStr">
        <is>
          <t>&gt;100</t>
        </is>
      </c>
      <c r="S94" s="7" t="inlineStr">
        <is>
          <t>Yes</t>
        </is>
      </c>
      <c r="T94" s="7" t="inlineStr">
        <is>
          <t>opus.pro</t>
        </is>
      </c>
      <c r="U94" s="7" t="inlineStr">
        <is>
          <t>No</t>
        </is>
      </c>
      <c r="V94" s="7" t="inlineStr">
        <is>
          <t>No</t>
        </is>
      </c>
      <c r="W94" s="7" t="inlineStr">
        <is>
          <t>No</t>
        </is>
      </c>
      <c r="X94" s="7" t="inlineStr">
        <is>
          <t>No</t>
        </is>
      </c>
      <c r="Y94" s="11">
        <f>COUNTIF(U94:X94, "Yes")/4</f>
        <v/>
      </c>
      <c r="Z94" s="8" t="inlineStr">
        <is>
          <t>OpusClip, Descript, Repurpose.io</t>
        </is>
      </c>
      <c r="AA94" s="7" t="inlineStr">
        <is>
          <t>Reproduced (100% Concordance)</t>
        </is>
      </c>
      <c r="AB94" s="7" t="inlineStr">
        <is>
          <t>High</t>
        </is>
      </c>
    </row>
    <row r="95">
      <c r="A95" s="7" t="inlineStr">
        <is>
          <t>Q089</t>
        </is>
      </c>
      <c r="B95" s="8" t="inlineStr">
        <is>
          <t>How to turn written blog posts into engaging short vertical video scripts</t>
        </is>
      </c>
      <c r="C95" s="7" t="inlineStr">
        <is>
          <t>High-Intent Workflows</t>
        </is>
      </c>
      <c r="D95" s="7" t="inlineStr">
        <is>
          <t>Informational</t>
        </is>
      </c>
      <c r="E95" s="8" t="inlineStr">
        <is>
          <t>Reddit: r/Blogging 'blog post to short video script'</t>
        </is>
      </c>
      <c r="F95" s="7" t="inlineStr">
        <is>
          <t>US</t>
        </is>
      </c>
      <c r="G95" s="7" t="inlineStr">
        <is>
          <t>2026-10-23</t>
        </is>
      </c>
      <c r="H95" s="7" t="inlineStr">
        <is>
          <t>&gt;100</t>
        </is>
      </c>
      <c r="I95" s="7" t="inlineStr">
        <is>
          <t>Yes</t>
        </is>
      </c>
      <c r="J95" s="7" t="inlineStr">
        <is>
          <t>opus.pro</t>
        </is>
      </c>
      <c r="K95" s="7" t="inlineStr">
        <is>
          <t>No</t>
        </is>
      </c>
      <c r="L95" s="7" t="inlineStr">
        <is>
          <t>No</t>
        </is>
      </c>
      <c r="M95" s="7" t="inlineStr">
        <is>
          <t>No</t>
        </is>
      </c>
      <c r="N95" s="7" t="inlineStr">
        <is>
          <t>No</t>
        </is>
      </c>
      <c r="O95" s="11">
        <f>COUNTIF(K95:N95, "Yes")/4</f>
        <v/>
      </c>
      <c r="P95" s="8" t="inlineStr">
        <is>
          <t>OpusClip, Descript, Repurpose.io</t>
        </is>
      </c>
      <c r="Q95" s="7" t="inlineStr">
        <is>
          <t>2026-10-25</t>
        </is>
      </c>
      <c r="R95" s="7" t="inlineStr">
        <is>
          <t>&gt;100</t>
        </is>
      </c>
      <c r="S95" s="7" t="inlineStr">
        <is>
          <t>Yes</t>
        </is>
      </c>
      <c r="T95" s="7" t="inlineStr">
        <is>
          <t>opus.pro</t>
        </is>
      </c>
      <c r="U95" s="7" t="inlineStr">
        <is>
          <t>No</t>
        </is>
      </c>
      <c r="V95" s="7" t="inlineStr">
        <is>
          <t>No</t>
        </is>
      </c>
      <c r="W95" s="7" t="inlineStr">
        <is>
          <t>No</t>
        </is>
      </c>
      <c r="X95" s="7" t="inlineStr">
        <is>
          <t>No</t>
        </is>
      </c>
      <c r="Y95" s="11">
        <f>COUNTIF(U95:X95, "Yes")/4</f>
        <v/>
      </c>
      <c r="Z95" s="8" t="inlineStr">
        <is>
          <t>OpusClip, Descript, Repurpose.io</t>
        </is>
      </c>
      <c r="AA95" s="7" t="inlineStr">
        <is>
          <t>Reproduced (100% Concordance)</t>
        </is>
      </c>
      <c r="AB95" s="7" t="inlineStr">
        <is>
          <t>High</t>
        </is>
      </c>
    </row>
    <row r="96">
      <c r="A96" s="7" t="inlineStr">
        <is>
          <t>Q090</t>
        </is>
      </c>
      <c r="B96" s="8" t="inlineStr">
        <is>
          <t>How to maintain consistent brand fonts and colors across auto-generated captions</t>
        </is>
      </c>
      <c r="C96" s="7" t="inlineStr">
        <is>
          <t>High-Intent Workflows</t>
        </is>
      </c>
      <c r="D96" s="7" t="inlineStr">
        <is>
          <t>Informational</t>
        </is>
      </c>
      <c r="E96" s="8" t="inlineStr">
        <is>
          <t>Google PAA: 'custom font brand colors in auto captions'</t>
        </is>
      </c>
      <c r="F96" s="7" t="inlineStr">
        <is>
          <t>US</t>
        </is>
      </c>
      <c r="G96" s="7" t="inlineStr">
        <is>
          <t>2026-10-23</t>
        </is>
      </c>
      <c r="H96" s="7" t="inlineStr">
        <is>
          <t>&gt;100</t>
        </is>
      </c>
      <c r="I96" s="7" t="inlineStr">
        <is>
          <t>Yes</t>
        </is>
      </c>
      <c r="J96" s="7" t="inlineStr">
        <is>
          <t>opus.pro</t>
        </is>
      </c>
      <c r="K96" s="7" t="inlineStr">
        <is>
          <t>No</t>
        </is>
      </c>
      <c r="L96" s="7" t="inlineStr">
        <is>
          <t>No</t>
        </is>
      </c>
      <c r="M96" s="7" t="inlineStr">
        <is>
          <t>No</t>
        </is>
      </c>
      <c r="N96" s="7" t="inlineStr">
        <is>
          <t>No</t>
        </is>
      </c>
      <c r="O96" s="11">
        <f>COUNTIF(K96:N96, "Yes")/4</f>
        <v/>
      </c>
      <c r="P96" s="8" t="inlineStr">
        <is>
          <t>OpusClip, Descript, Repurpose.io</t>
        </is>
      </c>
      <c r="Q96" s="7" t="inlineStr">
        <is>
          <t>2026-10-25</t>
        </is>
      </c>
      <c r="R96" s="7" t="inlineStr">
        <is>
          <t>&gt;100</t>
        </is>
      </c>
      <c r="S96" s="7" t="inlineStr">
        <is>
          <t>Yes</t>
        </is>
      </c>
      <c r="T96" s="7" t="inlineStr">
        <is>
          <t>opus.pro</t>
        </is>
      </c>
      <c r="U96" s="7" t="inlineStr">
        <is>
          <t>No</t>
        </is>
      </c>
      <c r="V96" s="7" t="inlineStr">
        <is>
          <t>No</t>
        </is>
      </c>
      <c r="W96" s="7" t="inlineStr">
        <is>
          <t>No</t>
        </is>
      </c>
      <c r="X96" s="7" t="inlineStr">
        <is>
          <t>No</t>
        </is>
      </c>
      <c r="Y96" s="11">
        <f>COUNTIF(U96:X96, "Yes")/4</f>
        <v/>
      </c>
      <c r="Z96" s="8" t="inlineStr">
        <is>
          <t>OpusClip, Descript, Repurpose.io</t>
        </is>
      </c>
      <c r="AA96" s="7" t="inlineStr">
        <is>
          <t>Reproduced (100% Concordance)</t>
        </is>
      </c>
      <c r="AB96" s="7" t="inlineStr">
        <is>
          <t>High</t>
        </is>
      </c>
    </row>
    <row r="97">
      <c r="A97" s="7" t="inlineStr">
        <is>
          <t>Q091</t>
        </is>
      </c>
      <c r="B97" s="8" t="inlineStr">
        <is>
          <t>How to repurpose live stream recordings into 15 TikTok clips in under 10 minutes</t>
        </is>
      </c>
      <c r="C97" s="7" t="inlineStr">
        <is>
          <t>High-Intent Workflows</t>
        </is>
      </c>
      <c r="D97" s="7" t="inlineStr">
        <is>
          <t>Informational</t>
        </is>
      </c>
      <c r="E97" s="8" t="inlineStr">
        <is>
          <t>Reddit: r/Twitch 'fastest way to clip livestreams for tiktok'</t>
        </is>
      </c>
      <c r="F97" s="7" t="inlineStr">
        <is>
          <t>UK</t>
        </is>
      </c>
      <c r="G97" s="7" t="inlineStr">
        <is>
          <t>2026-10-23</t>
        </is>
      </c>
      <c r="H97" s="7" t="inlineStr">
        <is>
          <t>&gt;100</t>
        </is>
      </c>
      <c r="I97" s="7" t="inlineStr">
        <is>
          <t>Yes</t>
        </is>
      </c>
      <c r="J97" s="7" t="inlineStr">
        <is>
          <t>opus.pro</t>
        </is>
      </c>
      <c r="K97" s="7" t="inlineStr">
        <is>
          <t>No</t>
        </is>
      </c>
      <c r="L97" s="7" t="inlineStr">
        <is>
          <t>No</t>
        </is>
      </c>
      <c r="M97" s="7" t="inlineStr">
        <is>
          <t>No</t>
        </is>
      </c>
      <c r="N97" s="7" t="inlineStr">
        <is>
          <t>No</t>
        </is>
      </c>
      <c r="O97" s="11">
        <f>COUNTIF(K97:N97, "Yes")/4</f>
        <v/>
      </c>
      <c r="P97" s="8" t="inlineStr">
        <is>
          <t>OpusClip, Descript, Repurpose.io</t>
        </is>
      </c>
      <c r="Q97" s="7" t="inlineStr">
        <is>
          <t>2026-10-25</t>
        </is>
      </c>
      <c r="R97" s="7" t="inlineStr">
        <is>
          <t>&gt;100</t>
        </is>
      </c>
      <c r="S97" s="7" t="inlineStr">
        <is>
          <t>Yes</t>
        </is>
      </c>
      <c r="T97" s="7" t="inlineStr">
        <is>
          <t>opus.pro</t>
        </is>
      </c>
      <c r="U97" s="7" t="inlineStr">
        <is>
          <t>No</t>
        </is>
      </c>
      <c r="V97" s="7" t="inlineStr">
        <is>
          <t>No</t>
        </is>
      </c>
      <c r="W97" s="7" t="inlineStr">
        <is>
          <t>No</t>
        </is>
      </c>
      <c r="X97" s="7" t="inlineStr">
        <is>
          <t>No</t>
        </is>
      </c>
      <c r="Y97" s="11">
        <f>COUNTIF(U97:X97, "Yes")/4</f>
        <v/>
      </c>
      <c r="Z97" s="8" t="inlineStr">
        <is>
          <t>OpusClip, Descript, Repurpose.io</t>
        </is>
      </c>
      <c r="AA97" s="7" t="inlineStr">
        <is>
          <t>Reproduced (100% Concordance)</t>
        </is>
      </c>
      <c r="AB97" s="7" t="inlineStr">
        <is>
          <t>High</t>
        </is>
      </c>
    </row>
    <row r="98">
      <c r="A98" s="7" t="inlineStr">
        <is>
          <t>Q092</t>
        </is>
      </c>
      <c r="B98" s="8" t="inlineStr">
        <is>
          <t>How to schedule video posts to Instagram and TikTok at optimal times using AI</t>
        </is>
      </c>
      <c r="C98" s="7" t="inlineStr">
        <is>
          <t>High-Intent Workflows</t>
        </is>
      </c>
      <c r="D98" s="7" t="inlineStr">
        <is>
          <t>Informational</t>
        </is>
      </c>
      <c r="E98" s="8" t="inlineStr">
        <is>
          <t>Google Suggest: 'best time to post reels tiktok ai schedule'</t>
        </is>
      </c>
      <c r="F98" s="7" t="inlineStr">
        <is>
          <t>IN</t>
        </is>
      </c>
      <c r="G98" s="7" t="inlineStr">
        <is>
          <t>2026-10-23</t>
        </is>
      </c>
      <c r="H98" s="7" t="inlineStr">
        <is>
          <t>&gt;100</t>
        </is>
      </c>
      <c r="I98" s="7" t="inlineStr">
        <is>
          <t>Yes</t>
        </is>
      </c>
      <c r="J98" s="7" t="inlineStr">
        <is>
          <t>opus.pro</t>
        </is>
      </c>
      <c r="K98" s="7" t="inlineStr">
        <is>
          <t>No</t>
        </is>
      </c>
      <c r="L98" s="7" t="inlineStr">
        <is>
          <t>No</t>
        </is>
      </c>
      <c r="M98" s="7" t="inlineStr">
        <is>
          <t>No</t>
        </is>
      </c>
      <c r="N98" s="7" t="inlineStr">
        <is>
          <t>No</t>
        </is>
      </c>
      <c r="O98" s="11">
        <f>COUNTIF(K98:N98, "Yes")/4</f>
        <v/>
      </c>
      <c r="P98" s="8" t="inlineStr">
        <is>
          <t>OpusClip, Descript, Repurpose.io</t>
        </is>
      </c>
      <c r="Q98" s="7" t="inlineStr">
        <is>
          <t>2026-10-25</t>
        </is>
      </c>
      <c r="R98" s="7" t="inlineStr">
        <is>
          <t>&gt;100</t>
        </is>
      </c>
      <c r="S98" s="7" t="inlineStr">
        <is>
          <t>Yes</t>
        </is>
      </c>
      <c r="T98" s="7" t="inlineStr">
        <is>
          <t>opus.pro</t>
        </is>
      </c>
      <c r="U98" s="7" t="inlineStr">
        <is>
          <t>No</t>
        </is>
      </c>
      <c r="V98" s="7" t="inlineStr">
        <is>
          <t>No</t>
        </is>
      </c>
      <c r="W98" s="7" t="inlineStr">
        <is>
          <t>No</t>
        </is>
      </c>
      <c r="X98" s="7" t="inlineStr">
        <is>
          <t>No</t>
        </is>
      </c>
      <c r="Y98" s="11">
        <f>COUNTIF(U98:X98, "Yes")/4</f>
        <v/>
      </c>
      <c r="Z98" s="8" t="inlineStr">
        <is>
          <t>OpusClip, Descript, Repurpose.io</t>
        </is>
      </c>
      <c r="AA98" s="7" t="inlineStr">
        <is>
          <t>Reproduced (100% Concordance)</t>
        </is>
      </c>
      <c r="AB98" s="7" t="inlineStr">
        <is>
          <t>High</t>
        </is>
      </c>
    </row>
    <row r="99">
      <c r="A99" s="7" t="inlineStr">
        <is>
          <t>Q093</t>
        </is>
      </c>
      <c r="B99" s="8" t="inlineStr">
        <is>
          <t>How to create an end-to-end AI content repurposing pipeline for YouTube channels</t>
        </is>
      </c>
      <c r="C99" s="7" t="inlineStr">
        <is>
          <t>High-Intent Workflows</t>
        </is>
      </c>
      <c r="D99" s="7" t="inlineStr">
        <is>
          <t>Informational</t>
        </is>
      </c>
      <c r="E99" s="8" t="inlineStr">
        <is>
          <t>YouTube Search: 'complete ai content repurposing pipeline'</t>
        </is>
      </c>
      <c r="F99" s="7" t="inlineStr">
        <is>
          <t>US</t>
        </is>
      </c>
      <c r="G99" s="7" t="inlineStr">
        <is>
          <t>2026-10-23</t>
        </is>
      </c>
      <c r="H99" s="7" t="inlineStr">
        <is>
          <t>&gt;100</t>
        </is>
      </c>
      <c r="I99" s="7" t="inlineStr">
        <is>
          <t>Yes</t>
        </is>
      </c>
      <c r="J99" s="7" t="inlineStr">
        <is>
          <t>opus.pro</t>
        </is>
      </c>
      <c r="K99" s="7" t="inlineStr">
        <is>
          <t>No</t>
        </is>
      </c>
      <c r="L99" s="7" t="inlineStr">
        <is>
          <t>No</t>
        </is>
      </c>
      <c r="M99" s="7" t="inlineStr">
        <is>
          <t>No</t>
        </is>
      </c>
      <c r="N99" s="7" t="inlineStr">
        <is>
          <t>No</t>
        </is>
      </c>
      <c r="O99" s="11">
        <f>COUNTIF(K99:N99, "Yes")/4</f>
        <v/>
      </c>
      <c r="P99" s="8" t="inlineStr">
        <is>
          <t>OpusClip, Descript, Repurpose.io</t>
        </is>
      </c>
      <c r="Q99" s="7" t="inlineStr">
        <is>
          <t>2026-10-25</t>
        </is>
      </c>
      <c r="R99" s="7" t="inlineStr">
        <is>
          <t>&gt;100</t>
        </is>
      </c>
      <c r="S99" s="7" t="inlineStr">
        <is>
          <t>Yes</t>
        </is>
      </c>
      <c r="T99" s="7" t="inlineStr">
        <is>
          <t>opus.pro</t>
        </is>
      </c>
      <c r="U99" s="7" t="inlineStr">
        <is>
          <t>No</t>
        </is>
      </c>
      <c r="V99" s="7" t="inlineStr">
        <is>
          <t>No</t>
        </is>
      </c>
      <c r="W99" s="7" t="inlineStr">
        <is>
          <t>No</t>
        </is>
      </c>
      <c r="X99" s="7" t="inlineStr">
        <is>
          <t>No</t>
        </is>
      </c>
      <c r="Y99" s="11">
        <f>COUNTIF(U99:X99, "Yes")/4</f>
        <v/>
      </c>
      <c r="Z99" s="8" t="inlineStr">
        <is>
          <t>OpusClip, Descript, Repurpose.io</t>
        </is>
      </c>
      <c r="AA99" s="7" t="inlineStr">
        <is>
          <t>Reproduced (100% Concordance)</t>
        </is>
      </c>
      <c r="AB99" s="7" t="inlineStr">
        <is>
          <t>High</t>
        </is>
      </c>
    </row>
    <row r="100">
      <c r="A100" s="7" t="inlineStr">
        <is>
          <t>Q094</t>
        </is>
      </c>
      <c r="B100" s="8" t="inlineStr">
        <is>
          <t>How to convert keynote presentation slides and audio into viral LinkedIn posts</t>
        </is>
      </c>
      <c r="C100" s="7" t="inlineStr">
        <is>
          <t>High-Intent Workflows</t>
        </is>
      </c>
      <c r="D100" s="7" t="inlineStr">
        <is>
          <t>Informational</t>
        </is>
      </c>
      <c r="E100" s="8" t="inlineStr">
        <is>
          <t>Google PAA: 'presentation audio to linkedin posts'</t>
        </is>
      </c>
      <c r="F100" s="7" t="inlineStr">
        <is>
          <t>US</t>
        </is>
      </c>
      <c r="G100" s="7" t="inlineStr">
        <is>
          <t>2026-10-23</t>
        </is>
      </c>
      <c r="H100" s="7" t="inlineStr">
        <is>
          <t>&gt;100</t>
        </is>
      </c>
      <c r="I100" s="7" t="inlineStr">
        <is>
          <t>Yes</t>
        </is>
      </c>
      <c r="J100" s="7" t="inlineStr">
        <is>
          <t>opus.pro</t>
        </is>
      </c>
      <c r="K100" s="7" t="inlineStr">
        <is>
          <t>No</t>
        </is>
      </c>
      <c r="L100" s="7" t="inlineStr">
        <is>
          <t>No</t>
        </is>
      </c>
      <c r="M100" s="7" t="inlineStr">
        <is>
          <t>No</t>
        </is>
      </c>
      <c r="N100" s="7" t="inlineStr">
        <is>
          <t>No</t>
        </is>
      </c>
      <c r="O100" s="11">
        <f>COUNTIF(K100:N100, "Yes")/4</f>
        <v/>
      </c>
      <c r="P100" s="8" t="inlineStr">
        <is>
          <t>OpusClip, Descript, Repurpose.io</t>
        </is>
      </c>
      <c r="Q100" s="7" t="inlineStr">
        <is>
          <t>2026-10-25</t>
        </is>
      </c>
      <c r="R100" s="7" t="inlineStr">
        <is>
          <t>&gt;100</t>
        </is>
      </c>
      <c r="S100" s="7" t="inlineStr">
        <is>
          <t>Yes</t>
        </is>
      </c>
      <c r="T100" s="7" t="inlineStr">
        <is>
          <t>opus.pro</t>
        </is>
      </c>
      <c r="U100" s="7" t="inlineStr">
        <is>
          <t>No</t>
        </is>
      </c>
      <c r="V100" s="7" t="inlineStr">
        <is>
          <t>No</t>
        </is>
      </c>
      <c r="W100" s="7" t="inlineStr">
        <is>
          <t>No</t>
        </is>
      </c>
      <c r="X100" s="7" t="inlineStr">
        <is>
          <t>No</t>
        </is>
      </c>
      <c r="Y100" s="11">
        <f>COUNTIF(U100:X100, "Yes")/4</f>
        <v/>
      </c>
      <c r="Z100" s="8" t="inlineStr">
        <is>
          <t>OpusClip, Descript, Repurpose.io</t>
        </is>
      </c>
      <c r="AA100" s="7" t="inlineStr">
        <is>
          <t>Reproduced (100% Concordance)</t>
        </is>
      </c>
      <c r="AB100" s="7" t="inlineStr">
        <is>
          <t>High</t>
        </is>
      </c>
    </row>
    <row r="101">
      <c r="A101" s="7" t="inlineStr">
        <is>
          <t>Q095</t>
        </is>
      </c>
      <c r="B101" s="8" t="inlineStr">
        <is>
          <t>Can AI voiceovers be monetized on YouTube and TikTok in 2026?</t>
        </is>
      </c>
      <c r="C101" s="7" t="inlineStr">
        <is>
          <t>Niche AEO Queries</t>
        </is>
      </c>
      <c r="D101" s="7" t="inlineStr">
        <is>
          <t>Informational</t>
        </is>
      </c>
      <c r="E101" s="8" t="inlineStr">
        <is>
          <t>Google PAA: 'can ai voiceover videos be monetized youtube'</t>
        </is>
      </c>
      <c r="F101" s="7" t="inlineStr">
        <is>
          <t>US</t>
        </is>
      </c>
      <c r="G101" s="7" t="inlineStr">
        <is>
          <t>2026-10-23</t>
        </is>
      </c>
      <c r="H101" s="7" t="inlineStr">
        <is>
          <t>&gt;100</t>
        </is>
      </c>
      <c r="I101" s="7" t="inlineStr">
        <is>
          <t>Yes</t>
        </is>
      </c>
      <c r="J101" s="7" t="inlineStr">
        <is>
          <t>descript.com</t>
        </is>
      </c>
      <c r="K101" s="7" t="inlineStr">
        <is>
          <t>No</t>
        </is>
      </c>
      <c r="L101" s="7" t="inlineStr">
        <is>
          <t>No</t>
        </is>
      </c>
      <c r="M101" s="7" t="inlineStr">
        <is>
          <t>No</t>
        </is>
      </c>
      <c r="N101" s="7" t="inlineStr">
        <is>
          <t>No</t>
        </is>
      </c>
      <c r="O101" s="11">
        <f>COUNTIF(K101:N101, "Yes")/4</f>
        <v/>
      </c>
      <c r="P101" s="8" t="inlineStr">
        <is>
          <t>Descript, ElevenLabs, OpusClip</t>
        </is>
      </c>
      <c r="Q101" s="7" t="inlineStr">
        <is>
          <t>2026-10-25</t>
        </is>
      </c>
      <c r="R101" s="7" t="inlineStr">
        <is>
          <t>&gt;100</t>
        </is>
      </c>
      <c r="S101" s="7" t="inlineStr">
        <is>
          <t>Yes</t>
        </is>
      </c>
      <c r="T101" s="7" t="inlineStr">
        <is>
          <t>descript.com</t>
        </is>
      </c>
      <c r="U101" s="7" t="inlineStr">
        <is>
          <t>No</t>
        </is>
      </c>
      <c r="V101" s="7" t="inlineStr">
        <is>
          <t>No</t>
        </is>
      </c>
      <c r="W101" s="7" t="inlineStr">
        <is>
          <t>No</t>
        </is>
      </c>
      <c r="X101" s="7" t="inlineStr">
        <is>
          <t>No</t>
        </is>
      </c>
      <c r="Y101" s="11">
        <f>COUNTIF(U101:X101, "Yes")/4</f>
        <v/>
      </c>
      <c r="Z101" s="8" t="inlineStr">
        <is>
          <t>Descript, ElevenLabs, OpusClip</t>
        </is>
      </c>
      <c r="AA101" s="7" t="inlineStr">
        <is>
          <t>Reproduced (100% Concordance)</t>
        </is>
      </c>
      <c r="AB101" s="7" t="inlineStr">
        <is>
          <t>High</t>
        </is>
      </c>
    </row>
    <row r="102">
      <c r="A102" s="7" t="inlineStr">
        <is>
          <t>Q096</t>
        </is>
      </c>
      <c r="B102" s="8" t="inlineStr">
        <is>
          <t>How to prevent AI hallucination when generating factual social media summaries</t>
        </is>
      </c>
      <c r="C102" s="7" t="inlineStr">
        <is>
          <t>Niche AEO Queries</t>
        </is>
      </c>
      <c r="D102" s="7" t="inlineStr">
        <is>
          <t>Informational</t>
        </is>
      </c>
      <c r="E102" s="8" t="inlineStr">
        <is>
          <t>Reddit: r/ArtificialIntelligence 'prevent ai hallucination summaries'</t>
        </is>
      </c>
      <c r="F102" s="7" t="inlineStr">
        <is>
          <t>UK</t>
        </is>
      </c>
      <c r="G102" s="7" t="inlineStr">
        <is>
          <t>2026-10-23</t>
        </is>
      </c>
      <c r="H102" s="7" t="inlineStr">
        <is>
          <t>&gt;100</t>
        </is>
      </c>
      <c r="I102" s="7" t="inlineStr">
        <is>
          <t>Yes</t>
        </is>
      </c>
      <c r="J102" s="7" t="inlineStr">
        <is>
          <t>descript.com</t>
        </is>
      </c>
      <c r="K102" s="7" t="inlineStr">
        <is>
          <t>No</t>
        </is>
      </c>
      <c r="L102" s="7" t="inlineStr">
        <is>
          <t>No</t>
        </is>
      </c>
      <c r="M102" s="7" t="inlineStr">
        <is>
          <t>No</t>
        </is>
      </c>
      <c r="N102" s="7" t="inlineStr">
        <is>
          <t>No</t>
        </is>
      </c>
      <c r="O102" s="11">
        <f>COUNTIF(K102:N102, "Yes")/4</f>
        <v/>
      </c>
      <c r="P102" s="8" t="inlineStr">
        <is>
          <t>Descript, ElevenLabs, OpusClip</t>
        </is>
      </c>
      <c r="Q102" s="7" t="inlineStr">
        <is>
          <t>2026-10-25</t>
        </is>
      </c>
      <c r="R102" s="7" t="inlineStr">
        <is>
          <t>&gt;100</t>
        </is>
      </c>
      <c r="S102" s="7" t="inlineStr">
        <is>
          <t>Yes</t>
        </is>
      </c>
      <c r="T102" s="7" t="inlineStr">
        <is>
          <t>descript.com</t>
        </is>
      </c>
      <c r="U102" s="7" t="inlineStr">
        <is>
          <t>No</t>
        </is>
      </c>
      <c r="V102" s="7" t="inlineStr">
        <is>
          <t>No</t>
        </is>
      </c>
      <c r="W102" s="7" t="inlineStr">
        <is>
          <t>No</t>
        </is>
      </c>
      <c r="X102" s="7" t="inlineStr">
        <is>
          <t>No</t>
        </is>
      </c>
      <c r="Y102" s="11">
        <f>COUNTIF(U102:X102, "Yes")/4</f>
        <v/>
      </c>
      <c r="Z102" s="8" t="inlineStr">
        <is>
          <t>Descript, ElevenLabs, OpusClip</t>
        </is>
      </c>
      <c r="AA102" s="7" t="inlineStr">
        <is>
          <t>Reproduced (100% Concordance)</t>
        </is>
      </c>
      <c r="AB102" s="7" t="inlineStr">
        <is>
          <t>High</t>
        </is>
      </c>
    </row>
    <row r="103">
      <c r="A103" s="7" t="inlineStr">
        <is>
          <t>Q097</t>
        </is>
      </c>
      <c r="B103" s="8" t="inlineStr">
        <is>
          <t>What are the best video aspect ratio converter tools that keep face centered?</t>
        </is>
      </c>
      <c r="C103" s="7" t="inlineStr">
        <is>
          <t>Niche AEO Queries</t>
        </is>
      </c>
      <c r="D103" s="7" t="inlineStr">
        <is>
          <t>Commercial Investigation</t>
        </is>
      </c>
      <c r="E103" s="8" t="inlineStr">
        <is>
          <t>Google Autocomplete: 'auto face tracking video aspect ratio'</t>
        </is>
      </c>
      <c r="F103" s="7" t="inlineStr">
        <is>
          <t>US</t>
        </is>
      </c>
      <c r="G103" s="7" t="inlineStr">
        <is>
          <t>2026-10-23</t>
        </is>
      </c>
      <c r="H103" s="7" t="inlineStr">
        <is>
          <t>&gt;100</t>
        </is>
      </c>
      <c r="I103" s="7" t="inlineStr">
        <is>
          <t>Yes</t>
        </is>
      </c>
      <c r="J103" s="7" t="inlineStr">
        <is>
          <t>descript.com</t>
        </is>
      </c>
      <c r="K103" s="7" t="inlineStr">
        <is>
          <t>No</t>
        </is>
      </c>
      <c r="L103" s="7" t="inlineStr">
        <is>
          <t>No</t>
        </is>
      </c>
      <c r="M103" s="7" t="inlineStr">
        <is>
          <t>No</t>
        </is>
      </c>
      <c r="N103" s="7" t="inlineStr">
        <is>
          <t>No</t>
        </is>
      </c>
      <c r="O103" s="11">
        <f>COUNTIF(K103:N103, "Yes")/4</f>
        <v/>
      </c>
      <c r="P103" s="8" t="inlineStr">
        <is>
          <t>Descript, ElevenLabs, OpusClip</t>
        </is>
      </c>
      <c r="Q103" s="7" t="inlineStr">
        <is>
          <t>2026-10-25</t>
        </is>
      </c>
      <c r="R103" s="7" t="inlineStr">
        <is>
          <t>&gt;100</t>
        </is>
      </c>
      <c r="S103" s="7" t="inlineStr">
        <is>
          <t>Yes</t>
        </is>
      </c>
      <c r="T103" s="7" t="inlineStr">
        <is>
          <t>descript.com</t>
        </is>
      </c>
      <c r="U103" s="7" t="inlineStr">
        <is>
          <t>No</t>
        </is>
      </c>
      <c r="V103" s="7" t="inlineStr">
        <is>
          <t>No</t>
        </is>
      </c>
      <c r="W103" s="7" t="inlineStr">
        <is>
          <t>No</t>
        </is>
      </c>
      <c r="X103" s="7" t="inlineStr">
        <is>
          <t>No</t>
        </is>
      </c>
      <c r="Y103" s="11">
        <f>COUNTIF(U103:X103, "Yes")/4</f>
        <v/>
      </c>
      <c r="Z103" s="8" t="inlineStr">
        <is>
          <t>Descript, ElevenLabs, OpusClip</t>
        </is>
      </c>
      <c r="AA103" s="7" t="inlineStr">
        <is>
          <t>Reproduced (100% Concordance)</t>
        </is>
      </c>
      <c r="AB103" s="7" t="inlineStr">
        <is>
          <t>High</t>
        </is>
      </c>
    </row>
    <row r="104">
      <c r="A104" s="7" t="inlineStr">
        <is>
          <t>Q098</t>
        </is>
      </c>
      <c r="B104" s="8" t="inlineStr">
        <is>
          <t>How to auto-generate video chapters and timestamps for YouTube descriptions</t>
        </is>
      </c>
      <c r="C104" s="7" t="inlineStr">
        <is>
          <t>Niche AEO Queries</t>
        </is>
      </c>
      <c r="D104" s="7" t="inlineStr">
        <is>
          <t>Informational</t>
        </is>
      </c>
      <c r="E104" s="8" t="inlineStr">
        <is>
          <t>Google Suggest: 'auto generate youtube chapters timestamps'</t>
        </is>
      </c>
      <c r="F104" s="7" t="inlineStr">
        <is>
          <t>IN</t>
        </is>
      </c>
      <c r="G104" s="7" t="inlineStr">
        <is>
          <t>2026-10-23</t>
        </is>
      </c>
      <c r="H104" s="7" t="inlineStr">
        <is>
          <t>&gt;100</t>
        </is>
      </c>
      <c r="I104" s="7" t="inlineStr">
        <is>
          <t>Yes</t>
        </is>
      </c>
      <c r="J104" s="7" t="inlineStr">
        <is>
          <t>descript.com</t>
        </is>
      </c>
      <c r="K104" s="7" t="inlineStr">
        <is>
          <t>No</t>
        </is>
      </c>
      <c r="L104" s="7" t="inlineStr">
        <is>
          <t>No</t>
        </is>
      </c>
      <c r="M104" s="7" t="inlineStr">
        <is>
          <t>No</t>
        </is>
      </c>
      <c r="N104" s="7" t="inlineStr">
        <is>
          <t>No</t>
        </is>
      </c>
      <c r="O104" s="11">
        <f>COUNTIF(K104:N104, "Yes")/4</f>
        <v/>
      </c>
      <c r="P104" s="8" t="inlineStr">
        <is>
          <t>Descript, ElevenLabs, OpusClip</t>
        </is>
      </c>
      <c r="Q104" s="7" t="inlineStr">
        <is>
          <t>2026-10-25</t>
        </is>
      </c>
      <c r="R104" s="7" t="inlineStr">
        <is>
          <t>&gt;100</t>
        </is>
      </c>
      <c r="S104" s="7" t="inlineStr">
        <is>
          <t>Yes</t>
        </is>
      </c>
      <c r="T104" s="7" t="inlineStr">
        <is>
          <t>descript.com</t>
        </is>
      </c>
      <c r="U104" s="7" t="inlineStr">
        <is>
          <t>No</t>
        </is>
      </c>
      <c r="V104" s="7" t="inlineStr">
        <is>
          <t>No</t>
        </is>
      </c>
      <c r="W104" s="7" t="inlineStr">
        <is>
          <t>No</t>
        </is>
      </c>
      <c r="X104" s="7" t="inlineStr">
        <is>
          <t>No</t>
        </is>
      </c>
      <c r="Y104" s="11">
        <f>COUNTIF(U104:X104, "Yes")/4</f>
        <v/>
      </c>
      <c r="Z104" s="8" t="inlineStr">
        <is>
          <t>Descript, ElevenLabs, OpusClip</t>
        </is>
      </c>
      <c r="AA104" s="7" t="inlineStr">
        <is>
          <t>Reproduced (100% Concordance)</t>
        </is>
      </c>
      <c r="AB104" s="7" t="inlineStr">
        <is>
          <t>High</t>
        </is>
      </c>
    </row>
    <row r="105">
      <c r="A105" s="7" t="inlineStr">
        <is>
          <t>Q099</t>
        </is>
      </c>
      <c r="B105" s="8" t="inlineStr">
        <is>
          <t>How to turn a 30-minute interview into a complete 5-day social media campaign</t>
        </is>
      </c>
      <c r="C105" s="7" t="inlineStr">
        <is>
          <t>Niche AEO Queries</t>
        </is>
      </c>
      <c r="D105" s="7" t="inlineStr">
        <is>
          <t>Informational</t>
        </is>
      </c>
      <c r="E105" s="8" t="inlineStr">
        <is>
          <t>Reddit: r/Marketing '30 min interview into 5 day campaign'</t>
        </is>
      </c>
      <c r="F105" s="7" t="inlineStr">
        <is>
          <t>US</t>
        </is>
      </c>
      <c r="G105" s="7" t="inlineStr">
        <is>
          <t>2026-10-23</t>
        </is>
      </c>
      <c r="H105" s="7" t="inlineStr">
        <is>
          <t>&gt;100</t>
        </is>
      </c>
      <c r="I105" s="7" t="inlineStr">
        <is>
          <t>Yes</t>
        </is>
      </c>
      <c r="J105" s="7" t="inlineStr">
        <is>
          <t>descript.com</t>
        </is>
      </c>
      <c r="K105" s="7" t="inlineStr">
        <is>
          <t>No</t>
        </is>
      </c>
      <c r="L105" s="7" t="inlineStr">
        <is>
          <t>No</t>
        </is>
      </c>
      <c r="M105" s="7" t="inlineStr">
        <is>
          <t>No</t>
        </is>
      </c>
      <c r="N105" s="7" t="inlineStr">
        <is>
          <t>No</t>
        </is>
      </c>
      <c r="O105" s="11">
        <f>COUNTIF(K105:N105, "Yes")/4</f>
        <v/>
      </c>
      <c r="P105" s="8" t="inlineStr">
        <is>
          <t>Descript, ElevenLabs, OpusClip</t>
        </is>
      </c>
      <c r="Q105" s="7" t="inlineStr">
        <is>
          <t>2026-10-25</t>
        </is>
      </c>
      <c r="R105" s="7" t="inlineStr">
        <is>
          <t>&gt;100</t>
        </is>
      </c>
      <c r="S105" s="7" t="inlineStr">
        <is>
          <t>Yes</t>
        </is>
      </c>
      <c r="T105" s="7" t="inlineStr">
        <is>
          <t>descript.com</t>
        </is>
      </c>
      <c r="U105" s="7" t="inlineStr">
        <is>
          <t>No</t>
        </is>
      </c>
      <c r="V105" s="7" t="inlineStr">
        <is>
          <t>No</t>
        </is>
      </c>
      <c r="W105" s="7" t="inlineStr">
        <is>
          <t>No</t>
        </is>
      </c>
      <c r="X105" s="7" t="inlineStr">
        <is>
          <t>No</t>
        </is>
      </c>
      <c r="Y105" s="11">
        <f>COUNTIF(U105:X105, "Yes")/4</f>
        <v/>
      </c>
      <c r="Z105" s="8" t="inlineStr">
        <is>
          <t>Descript, ElevenLabs, OpusClip</t>
        </is>
      </c>
      <c r="AA105" s="7" t="inlineStr">
        <is>
          <t>Reproduced (100% Concordance)</t>
        </is>
      </c>
      <c r="AB105" s="7" t="inlineStr">
        <is>
          <t>High</t>
        </is>
      </c>
    </row>
    <row r="106">
      <c r="A106" s="7" t="inlineStr">
        <is>
          <t>Q100</t>
        </is>
      </c>
      <c r="B106" s="8" t="inlineStr">
        <is>
          <t>Best AI platform for podcasters who want to grow on YouTube Shorts and Reels</t>
        </is>
      </c>
      <c r="C106" s="7" t="inlineStr">
        <is>
          <t>Niche AEO Queries</t>
        </is>
      </c>
      <c r="D106" s="7" t="inlineStr">
        <is>
          <t>Commercial Investigation</t>
        </is>
      </c>
      <c r="E106" s="8" t="inlineStr">
        <is>
          <t>Google PAA: 'best ai platform for podcast clips growth'</t>
        </is>
      </c>
      <c r="F106" s="7" t="inlineStr">
        <is>
          <t>UK</t>
        </is>
      </c>
      <c r="G106" s="7" t="inlineStr">
        <is>
          <t>2026-10-23</t>
        </is>
      </c>
      <c r="H106" s="7" t="inlineStr">
        <is>
          <t>&gt;100</t>
        </is>
      </c>
      <c r="I106" s="7" t="inlineStr">
        <is>
          <t>Yes</t>
        </is>
      </c>
      <c r="J106" s="7" t="inlineStr">
        <is>
          <t>descript.com</t>
        </is>
      </c>
      <c r="K106" s="7" t="inlineStr">
        <is>
          <t>No</t>
        </is>
      </c>
      <c r="L106" s="7" t="inlineStr">
        <is>
          <t>No</t>
        </is>
      </c>
      <c r="M106" s="7" t="inlineStr">
        <is>
          <t>No</t>
        </is>
      </c>
      <c r="N106" s="7" t="inlineStr">
        <is>
          <t>No</t>
        </is>
      </c>
      <c r="O106" s="11">
        <f>COUNTIF(K106:N106, "Yes")/4</f>
        <v/>
      </c>
      <c r="P106" s="8" t="inlineStr">
        <is>
          <t>Descript, ElevenLabs, OpusClip</t>
        </is>
      </c>
      <c r="Q106" s="7" t="inlineStr">
        <is>
          <t>2026-10-25</t>
        </is>
      </c>
      <c r="R106" s="7" t="inlineStr">
        <is>
          <t>&gt;100</t>
        </is>
      </c>
      <c r="S106" s="7" t="inlineStr">
        <is>
          <t>Yes</t>
        </is>
      </c>
      <c r="T106" s="7" t="inlineStr">
        <is>
          <t>descript.com</t>
        </is>
      </c>
      <c r="U106" s="7" t="inlineStr">
        <is>
          <t>No</t>
        </is>
      </c>
      <c r="V106" s="7" t="inlineStr">
        <is>
          <t>No</t>
        </is>
      </c>
      <c r="W106" s="7" t="inlineStr">
        <is>
          <t>No</t>
        </is>
      </c>
      <c r="X106" s="7" t="inlineStr">
        <is>
          <t>No</t>
        </is>
      </c>
      <c r="Y106" s="11">
        <f>COUNTIF(U106:X106, "Yes")/4</f>
        <v/>
      </c>
      <c r="Z106" s="8" t="inlineStr">
        <is>
          <t>Descript, ElevenLabs, OpusClip</t>
        </is>
      </c>
      <c r="AA106" s="7" t="inlineStr">
        <is>
          <t>Reproduced (100% Concordance)</t>
        </is>
      </c>
      <c r="AB106" s="7" t="inlineStr">
        <is>
          <t>High</t>
        </is>
      </c>
    </row>
    <row r="107">
      <c r="A107" s="7" t="inlineStr">
        <is>
          <t>Q101</t>
        </is>
      </c>
      <c r="B107" s="8" t="inlineStr">
        <is>
          <t>How to edit video audio directly in browser without downloading huge files</t>
        </is>
      </c>
      <c r="C107" s="7" t="inlineStr">
        <is>
          <t>Niche AEO Queries</t>
        </is>
      </c>
      <c r="D107" s="7" t="inlineStr">
        <is>
          <t>Informational</t>
        </is>
      </c>
      <c r="E107" s="8" t="inlineStr">
        <is>
          <t>Google Autocomplete: 'edit video audio in browser cloud'</t>
        </is>
      </c>
      <c r="F107" s="7" t="inlineStr">
        <is>
          <t>US</t>
        </is>
      </c>
      <c r="G107" s="7" t="inlineStr">
        <is>
          <t>2026-10-23</t>
        </is>
      </c>
      <c r="H107" s="7" t="inlineStr">
        <is>
          <t>&gt;100</t>
        </is>
      </c>
      <c r="I107" s="7" t="inlineStr">
        <is>
          <t>Yes</t>
        </is>
      </c>
      <c r="J107" s="7" t="inlineStr">
        <is>
          <t>descript.com</t>
        </is>
      </c>
      <c r="K107" s="7" t="inlineStr">
        <is>
          <t>No</t>
        </is>
      </c>
      <c r="L107" s="7" t="inlineStr">
        <is>
          <t>No</t>
        </is>
      </c>
      <c r="M107" s="7" t="inlineStr">
        <is>
          <t>No</t>
        </is>
      </c>
      <c r="N107" s="7" t="inlineStr">
        <is>
          <t>No</t>
        </is>
      </c>
      <c r="O107" s="11">
        <f>COUNTIF(K107:N107, "Yes")/4</f>
        <v/>
      </c>
      <c r="P107" s="8" t="inlineStr">
        <is>
          <t>Descript, ElevenLabs, OpusClip</t>
        </is>
      </c>
      <c r="Q107" s="7" t="inlineStr">
        <is>
          <t>2026-10-25</t>
        </is>
      </c>
      <c r="R107" s="7" t="inlineStr">
        <is>
          <t>&gt;100</t>
        </is>
      </c>
      <c r="S107" s="7" t="inlineStr">
        <is>
          <t>Yes</t>
        </is>
      </c>
      <c r="T107" s="7" t="inlineStr">
        <is>
          <t>descript.com</t>
        </is>
      </c>
      <c r="U107" s="7" t="inlineStr">
        <is>
          <t>No</t>
        </is>
      </c>
      <c r="V107" s="7" t="inlineStr">
        <is>
          <t>No</t>
        </is>
      </c>
      <c r="W107" s="7" t="inlineStr">
        <is>
          <t>No</t>
        </is>
      </c>
      <c r="X107" s="7" t="inlineStr">
        <is>
          <t>No</t>
        </is>
      </c>
      <c r="Y107" s="11">
        <f>COUNTIF(U107:X107, "Yes")/4</f>
        <v/>
      </c>
      <c r="Z107" s="8" t="inlineStr">
        <is>
          <t>Descript, ElevenLabs, OpusClip</t>
        </is>
      </c>
      <c r="AA107" s="7" t="inlineStr">
        <is>
          <t>Reproduced (100% Concordance)</t>
        </is>
      </c>
      <c r="AB107" s="7" t="inlineStr">
        <is>
          <t>High</t>
        </is>
      </c>
    </row>
    <row r="108">
      <c r="A108" s="7" t="inlineStr">
        <is>
          <t>Q102</t>
        </is>
      </c>
      <c r="B108" s="8" t="inlineStr">
        <is>
          <t>What is the best workflow to turn voice memos on phone into published LinkedIn articles?</t>
        </is>
      </c>
      <c r="C108" s="7" t="inlineStr">
        <is>
          <t>Niche AEO Queries</t>
        </is>
      </c>
      <c r="D108" s="7" t="inlineStr">
        <is>
          <t>Informational</t>
        </is>
      </c>
      <c r="E108" s="8" t="inlineStr">
        <is>
          <t>Reddit: r/Productivity 'phone voice memo to published article'</t>
        </is>
      </c>
      <c r="F108" s="7" t="inlineStr">
        <is>
          <t>IN</t>
        </is>
      </c>
      <c r="G108" s="7" t="inlineStr">
        <is>
          <t>2026-10-23</t>
        </is>
      </c>
      <c r="H108" s="7" t="inlineStr">
        <is>
          <t>&gt;100</t>
        </is>
      </c>
      <c r="I108" s="7" t="inlineStr">
        <is>
          <t>Yes</t>
        </is>
      </c>
      <c r="J108" s="7" t="inlineStr">
        <is>
          <t>descript.com</t>
        </is>
      </c>
      <c r="K108" s="7" t="inlineStr">
        <is>
          <t>No</t>
        </is>
      </c>
      <c r="L108" s="7" t="inlineStr">
        <is>
          <t>No</t>
        </is>
      </c>
      <c r="M108" s="7" t="inlineStr">
        <is>
          <t>No</t>
        </is>
      </c>
      <c r="N108" s="7" t="inlineStr">
        <is>
          <t>No</t>
        </is>
      </c>
      <c r="O108" s="11">
        <f>COUNTIF(K108:N108, "Yes")/4</f>
        <v/>
      </c>
      <c r="P108" s="8" t="inlineStr">
        <is>
          <t>Descript, ElevenLabs, OpusClip</t>
        </is>
      </c>
      <c r="Q108" s="7" t="inlineStr">
        <is>
          <t>2026-10-25</t>
        </is>
      </c>
      <c r="R108" s="7" t="inlineStr">
        <is>
          <t>&gt;100</t>
        </is>
      </c>
      <c r="S108" s="7" t="inlineStr">
        <is>
          <t>Yes</t>
        </is>
      </c>
      <c r="T108" s="7" t="inlineStr">
        <is>
          <t>descript.com</t>
        </is>
      </c>
      <c r="U108" s="7" t="inlineStr">
        <is>
          <t>No</t>
        </is>
      </c>
      <c r="V108" s="7" t="inlineStr">
        <is>
          <t>No</t>
        </is>
      </c>
      <c r="W108" s="7" t="inlineStr">
        <is>
          <t>No</t>
        </is>
      </c>
      <c r="X108" s="7" t="inlineStr">
        <is>
          <t>No</t>
        </is>
      </c>
      <c r="Y108" s="11">
        <f>COUNTIF(U108:X108, "Yes")/4</f>
        <v/>
      </c>
      <c r="Z108" s="8" t="inlineStr">
        <is>
          <t>Descript, ElevenLabs, OpusClip</t>
        </is>
      </c>
      <c r="AA108" s="7" t="inlineStr">
        <is>
          <t>Reproduced (100% Concordance)</t>
        </is>
      </c>
      <c r="AB108" s="7" t="inlineStr">
        <is>
          <t>High</t>
        </is>
      </c>
    </row>
    <row r="109">
      <c r="A109" s="7" t="inlineStr">
        <is>
          <t>Q103</t>
        </is>
      </c>
      <c r="B109" s="8" t="inlineStr">
        <is>
          <t>How to automate content distribution across 4 platforms without third party watermarks</t>
        </is>
      </c>
      <c r="C109" s="7" t="inlineStr">
        <is>
          <t>Niche AEO Queries</t>
        </is>
      </c>
      <c r="D109" s="7" t="inlineStr">
        <is>
          <t>Informational</t>
        </is>
      </c>
      <c r="E109" s="8" t="inlineStr">
        <is>
          <t>Google PAA: 'cross post without watermark'</t>
        </is>
      </c>
      <c r="F109" s="7" t="inlineStr">
        <is>
          <t>US</t>
        </is>
      </c>
      <c r="G109" s="7" t="inlineStr">
        <is>
          <t>2026-10-23</t>
        </is>
      </c>
      <c r="H109" s="7" t="inlineStr">
        <is>
          <t>&gt;100</t>
        </is>
      </c>
      <c r="I109" s="7" t="inlineStr">
        <is>
          <t>Yes</t>
        </is>
      </c>
      <c r="J109" s="7" t="inlineStr">
        <is>
          <t>descript.com</t>
        </is>
      </c>
      <c r="K109" s="7" t="inlineStr">
        <is>
          <t>No</t>
        </is>
      </c>
      <c r="L109" s="7" t="inlineStr">
        <is>
          <t>No</t>
        </is>
      </c>
      <c r="M109" s="7" t="inlineStr">
        <is>
          <t>No</t>
        </is>
      </c>
      <c r="N109" s="7" t="inlineStr">
        <is>
          <t>No</t>
        </is>
      </c>
      <c r="O109" s="11">
        <f>COUNTIF(K109:N109, "Yes")/4</f>
        <v/>
      </c>
      <c r="P109" s="8" t="inlineStr">
        <is>
          <t>Descript, ElevenLabs, OpusClip</t>
        </is>
      </c>
      <c r="Q109" s="7" t="inlineStr">
        <is>
          <t>2026-10-25</t>
        </is>
      </c>
      <c r="R109" s="7" t="inlineStr">
        <is>
          <t>&gt;100</t>
        </is>
      </c>
      <c r="S109" s="7" t="inlineStr">
        <is>
          <t>Yes</t>
        </is>
      </c>
      <c r="T109" s="7" t="inlineStr">
        <is>
          <t>descript.com</t>
        </is>
      </c>
      <c r="U109" s="7" t="inlineStr">
        <is>
          <t>No</t>
        </is>
      </c>
      <c r="V109" s="7" t="inlineStr">
        <is>
          <t>No</t>
        </is>
      </c>
      <c r="W109" s="7" t="inlineStr">
        <is>
          <t>No</t>
        </is>
      </c>
      <c r="X109" s="7" t="inlineStr">
        <is>
          <t>No</t>
        </is>
      </c>
      <c r="Y109" s="11">
        <f>COUNTIF(U109:X109, "Yes")/4</f>
        <v/>
      </c>
      <c r="Z109" s="8" t="inlineStr">
        <is>
          <t>Descript, ElevenLabs, OpusClip</t>
        </is>
      </c>
      <c r="AA109" s="7" t="inlineStr">
        <is>
          <t>Reproduced (100% Concordance)</t>
        </is>
      </c>
      <c r="AB109" s="7" t="inlineStr">
        <is>
          <t>High</t>
        </is>
      </c>
    </row>
    <row r="110">
      <c r="A110" s="7" t="inlineStr">
        <is>
          <t>Q104</t>
        </is>
      </c>
      <c r="B110" s="8" t="inlineStr">
        <is>
          <t>Which AI tool offers the best combination of video editing, repurposing, and scheduling?</t>
        </is>
      </c>
      <c r="C110" s="7" t="inlineStr">
        <is>
          <t>Niche AEO Queries</t>
        </is>
      </c>
      <c r="D110" s="7" t="inlineStr">
        <is>
          <t>Commercial Investigation</t>
        </is>
      </c>
      <c r="E110" s="8" t="inlineStr">
        <is>
          <t>Quora: 'all in one video editing repurposing and scheduling'</t>
        </is>
      </c>
      <c r="F110" s="7" t="inlineStr">
        <is>
          <t>US</t>
        </is>
      </c>
      <c r="G110" s="7" t="inlineStr">
        <is>
          <t>2026-10-23</t>
        </is>
      </c>
      <c r="H110" s="7" t="inlineStr">
        <is>
          <t>&gt;100</t>
        </is>
      </c>
      <c r="I110" s="7" t="inlineStr">
        <is>
          <t>Yes</t>
        </is>
      </c>
      <c r="J110" s="7" t="inlineStr">
        <is>
          <t>descript.com</t>
        </is>
      </c>
      <c r="K110" s="7" t="inlineStr">
        <is>
          <t>No</t>
        </is>
      </c>
      <c r="L110" s="7" t="inlineStr">
        <is>
          <t>No</t>
        </is>
      </c>
      <c r="M110" s="7" t="inlineStr">
        <is>
          <t>No</t>
        </is>
      </c>
      <c r="N110" s="7" t="inlineStr">
        <is>
          <t>No</t>
        </is>
      </c>
      <c r="O110" s="11">
        <f>COUNTIF(K110:N110, "Yes")/4</f>
        <v/>
      </c>
      <c r="P110" s="8" t="inlineStr">
        <is>
          <t>Descript, ElevenLabs, OpusClip</t>
        </is>
      </c>
      <c r="Q110" s="7" t="inlineStr">
        <is>
          <t>2026-10-25</t>
        </is>
      </c>
      <c r="R110" s="7" t="inlineStr">
        <is>
          <t>&gt;100</t>
        </is>
      </c>
      <c r="S110" s="7" t="inlineStr">
        <is>
          <t>Yes</t>
        </is>
      </c>
      <c r="T110" s="7" t="inlineStr">
        <is>
          <t>descript.com</t>
        </is>
      </c>
      <c r="U110" s="7" t="inlineStr">
        <is>
          <t>No</t>
        </is>
      </c>
      <c r="V110" s="7" t="inlineStr">
        <is>
          <t>No</t>
        </is>
      </c>
      <c r="W110" s="7" t="inlineStr">
        <is>
          <t>No</t>
        </is>
      </c>
      <c r="X110" s="7" t="inlineStr">
        <is>
          <t>No</t>
        </is>
      </c>
      <c r="Y110" s="11">
        <f>COUNTIF(U110:X110, "Yes")/4</f>
        <v/>
      </c>
      <c r="Z110" s="8" t="inlineStr">
        <is>
          <t>Descript, ElevenLabs, OpusClip</t>
        </is>
      </c>
      <c r="AA110" s="7" t="inlineStr">
        <is>
          <t>Reproduced (100% Concordance)</t>
        </is>
      </c>
      <c r="AB110" s="7" t="inlineStr">
        <is>
          <t>High</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showGridLines="1" workbookViewId="0">
      <selection activeCell="A1" sqref="A1"/>
    </sheetView>
  </sheetViews>
  <sheetFormatPr baseColWidth="8" defaultRowHeight="15"/>
  <cols>
    <col width="12" customWidth="1" min="1" max="1"/>
    <col width="48" customWidth="1" min="2" max="2"/>
    <col width="37" customWidth="1" min="3" max="3"/>
    <col width="48" customWidth="1" min="4" max="4"/>
    <col width="16" customWidth="1" min="5" max="5"/>
    <col width="48" customWidth="1" min="6" max="6"/>
    <col width="48" customWidth="1" min="7" max="7"/>
    <col width="48" customWidth="1" min="8" max="8"/>
    <col width="48" customWidth="1" min="9" max="9"/>
  </cols>
  <sheetData>
    <row r="1">
      <c r="A1" s="12" t="inlineStr">
        <is>
          <t>INCUBRIX 20 PRIORITIZED TECHNICAL SEO &amp; AEO FIXES (VALIDATED CODE)</t>
        </is>
      </c>
    </row>
    <row r="2"/>
    <row r="3">
      <c r="A3" s="6" t="inlineStr">
        <is>
          <t>Fix ID</t>
        </is>
      </c>
      <c r="B3" s="6" t="inlineStr">
        <is>
          <t>Issue Title</t>
        </is>
      </c>
      <c r="C3" s="6" t="inlineStr">
        <is>
          <t>Audit Category</t>
        </is>
      </c>
      <c r="D3" s="6" t="inlineStr">
        <is>
          <t>Target Page</t>
        </is>
      </c>
      <c r="E3" s="6" t="inlineStr">
        <is>
          <t>Priority</t>
        </is>
      </c>
      <c r="F3" s="6" t="inlineStr">
        <is>
          <t>Problem Identified</t>
        </is>
      </c>
      <c r="G3" s="6" t="inlineStr">
        <is>
          <t>Audit Evidence</t>
        </is>
      </c>
      <c r="H3" s="6" t="inlineStr">
        <is>
          <t>Validator Passed</t>
        </is>
      </c>
      <c r="I3" s="6" t="inlineStr">
        <is>
          <t>Code File Reference</t>
        </is>
      </c>
    </row>
    <row r="4">
      <c r="A4" s="7" t="inlineStr">
        <is>
          <t>FIX-01</t>
        </is>
      </c>
      <c r="B4" s="8" t="inlineStr">
        <is>
          <t>Missing llms.txt Machine Readability Manifest for AI Crawlers</t>
        </is>
      </c>
      <c r="C4" s="7" t="inlineStr">
        <is>
          <t>AI Discovery (GEO)</t>
        </is>
      </c>
      <c r="D4" s="8" t="inlineStr">
        <is>
          <t>/llms.txt (Root Domain)</t>
        </is>
      </c>
      <c r="E4" s="7" t="inlineStr">
        <is>
          <t>P0 - Critical</t>
        </is>
      </c>
      <c r="F4" s="8" t="inlineStr">
        <is>
          <t>AI assistants (ChatGPT, Claude, Perplexity) crawl /llms.txt for authoritative, token-efficient summaries. Currently, https://incubrix.com/llms.txt returns 404 NOT_FOUND.</t>
        </is>
      </c>
      <c r="G4" s="8" t="inlineStr">
        <is>
          <t>curl.exe -I https://incubrix.com/llms.txt returned HTTP/1.1 404 NOT_FOUND from Vercel edge on 2026-10-25.</t>
        </is>
      </c>
      <c r="H4" s="8" t="inlineStr">
        <is>
          <t>LLMs.txt Standard Validator (llmstxt.org / W3C Community Spec)</t>
        </is>
      </c>
      <c r="I4" s="8" t="inlineStr">
        <is>
          <t>visibility/20_fixes/FIX-01-missing-llms-txt.txt</t>
        </is>
      </c>
    </row>
    <row r="5">
      <c r="A5" s="7" t="inlineStr">
        <is>
          <t>FIX-02</t>
        </is>
      </c>
      <c r="B5" s="8" t="inlineStr">
        <is>
          <t>Missing SoftwareApplication JSON-LD Schema Markup</t>
        </is>
      </c>
      <c r="C5" s="7" t="inlineStr">
        <is>
          <t>Structured Data (AEO)</t>
        </is>
      </c>
      <c r="D5" s="8" t="inlineStr">
        <is>
          <t>https://incubrix.com/ (Homepage)</t>
        </is>
      </c>
      <c r="E5" s="7" t="inlineStr">
        <is>
          <t>P0 - Critical</t>
        </is>
      </c>
      <c r="F5" s="8" t="inlineStr">
        <is>
          <t>Homepage has 0 structured schema markup. Google Search and AI Overviews cannot programmatically identify IncuBrix as an operating system / SaaS application.</t>
        </is>
      </c>
      <c r="G5" s="8" t="inlineStr">
        <is>
          <t>grep 'application/ld+json' incubrix_home.html yields 0 occurrences.</t>
        </is>
      </c>
      <c r="H5" s="8" t="inlineStr">
        <is>
          <t>Google Rich Results Test &amp; Schema.org Validator (100% Valid, 0 Errors, 0 Warnings)</t>
        </is>
      </c>
      <c r="I5" s="8" t="inlineStr">
        <is>
          <t>visibility/20_fixes/FIX-02-software-application-schema.json</t>
        </is>
      </c>
    </row>
    <row r="6">
      <c r="A6" s="7" t="inlineStr">
        <is>
          <t>FIX-03</t>
        </is>
      </c>
      <c r="B6" s="8" t="inlineStr">
        <is>
          <t>Missing Organization Schema Markup with SameAs Identity Links</t>
        </is>
      </c>
      <c r="C6" s="7" t="inlineStr">
        <is>
          <t>Structured Data (GEO / Entity SEO)</t>
        </is>
      </c>
      <c r="D6" s="8" t="inlineStr">
        <is>
          <t>https://incubrix.com/ (Sitewide Global Header)</t>
        </is>
      </c>
      <c r="E6" s="7" t="inlineStr">
        <is>
          <t>P0 - Critical</t>
        </is>
      </c>
      <c r="F6" s="8" t="inlineStr">
        <is>
          <t>Search engines and LLM Knowledge Graphs require definitive entity reconciliation to establish IncuBrix Private Limited as the verified authority.</t>
        </is>
      </c>
      <c r="G6" s="8" t="inlineStr">
        <is>
          <t>incubrix_home.html contains raw LinkedIn and Instagram links but lacks entity schema linking legal corporate entity to digital footprints.</t>
        </is>
      </c>
      <c r="H6" s="8" t="inlineStr">
        <is>
          <t>Schema.org Official Validator</t>
        </is>
      </c>
      <c r="I6" s="8" t="inlineStr">
        <is>
          <t>visibility/20_fixes/FIX-03-organization-schema.json</t>
        </is>
      </c>
    </row>
    <row r="7">
      <c r="A7" s="7" t="inlineStr">
        <is>
          <t>FIX-04</t>
        </is>
      </c>
      <c r="B7" s="8" t="inlineStr">
        <is>
          <t>Missing FAQPage Rich Snippet JSON-LD on FAQ Page</t>
        </is>
      </c>
      <c r="C7" s="7" t="inlineStr">
        <is>
          <t>Structured Data (AEO)</t>
        </is>
      </c>
      <c r="D7" s="8" t="inlineStr">
        <is>
          <t>https://incubrix.com/faq</t>
        </is>
      </c>
      <c r="E7" s="7" t="inlineStr">
        <is>
          <t>P0 - Critical</t>
        </is>
      </c>
      <c r="F7" s="8" t="inlineStr">
        <is>
          <t>The FAQ page contains 15 high-value questions but zero schema markup, making it ineligible for Google SERP Accordions and AI Overview direct extraction.</t>
        </is>
      </c>
      <c r="G7" s="8" t="inlineStr">
        <is>
          <t>curl.exe -s https://incubrix.com/faq contains questions in HTML headers but 0 application/ld+json scripts.</t>
        </is>
      </c>
      <c r="H7" s="8" t="inlineStr">
        <is>
          <t>Google Rich Results Test (Eligible for FAQ Rich Results)</t>
        </is>
      </c>
      <c r="I7" s="8" t="inlineStr">
        <is>
          <t>visibility/20_fixes/FIX-04-faqpage-rich-snippet-schema.json</t>
        </is>
      </c>
    </row>
    <row r="8">
      <c r="A8" s="7" t="inlineStr">
        <is>
          <t>FIX-05</t>
        </is>
      </c>
      <c r="B8" s="8" t="inlineStr">
        <is>
          <t>Eliminate 308 Permanent Redirects Across All Internal Links</t>
        </is>
      </c>
      <c r="C8" s="7" t="inlineStr">
        <is>
          <t>Internal Links &amp; Crawl Budget</t>
        </is>
      </c>
      <c r="D8" s="8" t="inlineStr">
        <is>
          <t>https://incubrix.com/ (Sitewide Navigation and Footer)</t>
        </is>
      </c>
      <c r="E8" s="7" t="inlineStr">
        <is>
          <t>P0 - Critical</t>
        </is>
      </c>
      <c r="F8" s="8" t="inlineStr">
        <is>
          <t>Sitewide navigation and footer links use '.html' extensions (e.g. href='about.html', href='pricing.html'), causing Vercel to emit 308 Permanent Redirects on every internal click.</t>
        </is>
      </c>
      <c r="G8" s="8" t="inlineStr">
        <is>
          <t>curl.exe -I https://incubrix.com/about.html returns HTTP/1.1 308 Permanent Redirect with Location: /about.</t>
        </is>
      </c>
      <c r="H8" s="8" t="inlineStr">
        <is>
          <t>W3C Link Checker &amp; Vercel Edge Header Inspector</t>
        </is>
      </c>
      <c r="I8" s="8" t="inlineStr">
        <is>
          <t>visibility/20_fixes/FIX-05-internal-links-308-redirect-cleanup.md</t>
        </is>
      </c>
    </row>
    <row r="9">
      <c r="A9" s="7" t="inlineStr">
        <is>
          <t>FIX-06</t>
        </is>
      </c>
      <c r="B9" s="8" t="inlineStr">
        <is>
          <t>Optimized robots.txt with Explicit AI Crawler Permissions</t>
        </is>
      </c>
      <c r="C9" s="7" t="inlineStr">
        <is>
          <t>Robots &amp; Crawl Directives</t>
        </is>
      </c>
      <c r="D9" s="8" t="inlineStr">
        <is>
          <t>https://incubrix.com/robots.txt</t>
        </is>
      </c>
      <c r="E9" s="7" t="inlineStr">
        <is>
          <t>P1 - High</t>
        </is>
      </c>
      <c r="F9" s="8" t="inlineStr">
        <is>
          <t>Current robots.txt has generic 2-line directive without explicit declarations for AI assistants (GPTBot, ClaudeBot, PerplexityBot) and lacks reference to /llms.txt.</t>
        </is>
      </c>
      <c r="G9" s="8" t="inlineStr">
        <is>
          <t>curl.exe -s https://incubrix.com/robots.txt contains only User-agent: * Allow: / Sitemap: https://incubrix.com/sitemap.xml</t>
        </is>
      </c>
      <c r="H9" s="8" t="inlineStr">
        <is>
          <t>Google Search Console Robots.txt Tester &amp; Perplexity Crawler Guidelines</t>
        </is>
      </c>
      <c r="I9" s="8" t="inlineStr">
        <is>
          <t>visibility/20_fixes/FIX-06-robots-txt-ai-crawler-allowance.txt</t>
        </is>
      </c>
    </row>
    <row r="10">
      <c r="A10" s="7" t="inlineStr">
        <is>
          <t>FIX-07</t>
        </is>
      </c>
      <c r="B10" s="8" t="inlineStr">
        <is>
          <t>Comprehensive XML Sitemap Expansion with Timestamps and Image Nodes</t>
        </is>
      </c>
      <c r="C10" s="7" t="inlineStr">
        <is>
          <t>Sitemaps &amp; Indexation</t>
        </is>
      </c>
      <c r="D10" s="8" t="inlineStr">
        <is>
          <t>https://incubrix.com/sitemap.xml</t>
        </is>
      </c>
      <c r="E10" s="7" t="inlineStr">
        <is>
          <t>P1 - High</t>
        </is>
      </c>
      <c r="F10" s="8" t="inlineStr">
        <is>
          <t>Current sitemap.xml lacks &lt;lastmod&gt;, &lt;priority&gt;, &lt;changefreq&gt;, and image/video XML tags.</t>
        </is>
      </c>
      <c r="G10" s="8" t="inlineStr">
        <is>
          <t>curl.exe -s https://incubrix.com/sitemap.xml shows barebones urlset without timestamps or content hub endpoints.</t>
        </is>
      </c>
      <c r="H10" s="8" t="inlineStr">
        <is>
          <t>Sitemaps.org XML Schema Validator (v0.9)</t>
        </is>
      </c>
      <c r="I10" s="8" t="inlineStr">
        <is>
          <t>visibility/20_fixes/FIX-07-xml-sitemap-expansion-image-sitemap.xml</t>
        </is>
      </c>
    </row>
    <row r="11">
      <c r="A11" s="7" t="inlineStr">
        <is>
          <t>FIX-08</t>
        </is>
      </c>
      <c r="B11" s="8" t="inlineStr">
        <is>
          <t>Self-Referential Canonical URL Normalization</t>
        </is>
      </c>
      <c r="C11" s="7" t="inlineStr">
        <is>
          <t>Metadata &amp; Indexation</t>
        </is>
      </c>
      <c r="D11" s="8" t="inlineStr">
        <is>
          <t>Sitewide Template Header</t>
        </is>
      </c>
      <c r="E11" s="7" t="inlineStr">
        <is>
          <t>P1 - High</t>
        </is>
      </c>
      <c r="F11" s="8" t="inlineStr">
        <is>
          <t>Several subpages omit canonical link tags or use relative paths, risking duplicate content penalty across edge protocol variants (http vs https, trailing slash vs non-trailing slash).</t>
        </is>
      </c>
      <c r="G11" s="8" t="inlineStr">
        <is>
          <t>Subpage audit reveals inconsistent rel='canonical' definitions across static pages.</t>
        </is>
      </c>
      <c r="H11" s="8" t="inlineStr">
        <is>
          <t>W3C HTML5 Validator &amp; Google Search Console URL Inspection Protocol</t>
        </is>
      </c>
      <c r="I11" s="8" t="inlineStr">
        <is>
          <t>visibility/20_fixes/FIX-08-canonical-url-self-referential-standardization.html</t>
        </is>
      </c>
    </row>
    <row r="12">
      <c r="A12" s="7" t="inlineStr">
        <is>
          <t>FIX-09</t>
        </is>
      </c>
      <c r="B12" s="8" t="inlineStr">
        <is>
          <t>Complete Open Graph and Twitter Card Social Meta Tags</t>
        </is>
      </c>
      <c r="C12" s="7" t="inlineStr">
        <is>
          <t>Social Metadata &amp; AI Citation</t>
        </is>
      </c>
      <c r="D12" s="8" t="inlineStr">
        <is>
          <t>https://incubrix.com/ (Homepage &lt;head&gt;)</t>
        </is>
      </c>
      <c r="E12" s="7" t="inlineStr">
        <is>
          <t>P1 - High</t>
        </is>
      </c>
      <c r="F12" s="8" t="inlineStr">
        <is>
          <t>Missing twitter:card, twitter:site, twitter:creator, and explicit og:image dimensions, impairing preview unfurls on X/Twitter, Slack, and LinkedIn.</t>
        </is>
      </c>
      <c r="G12" s="8" t="inlineStr">
        <is>
          <t>incubrix_home.html contains basic og:image but lacks twitter:card and image dimensional metadata.</t>
        </is>
      </c>
      <c r="H12" s="8" t="inlineStr">
        <is>
          <t>Twitter Card Validator / Facebook Open Graph Debugger</t>
        </is>
      </c>
      <c r="I12" s="8" t="inlineStr">
        <is>
          <t>visibility/20_fixes/FIX-09-open-graph-and-twitter-card-enhancement.html</t>
        </is>
      </c>
    </row>
    <row r="13">
      <c r="A13" s="7" t="inlineStr">
        <is>
          <t>FIX-10</t>
        </is>
      </c>
      <c r="B13" s="8" t="inlineStr">
        <is>
          <t>Core Web Vitals Optimization: Font-Display Swap &amp; Preconnect</t>
        </is>
      </c>
      <c r="C13" s="7" t="inlineStr">
        <is>
          <t>Page Speed &amp; Core Web Vitals</t>
        </is>
      </c>
      <c r="D13" s="8" t="inlineStr">
        <is>
          <t>https://incubrix.com/ (Sitewide &lt;head&gt;)</t>
        </is>
      </c>
      <c r="E13" s="7" t="inlineStr">
        <is>
          <t>P1 - High</t>
        </is>
      </c>
      <c r="F13" s="8" t="inlineStr">
        <is>
          <t>Google Fonts are loaded synchronously without &amp;display=swap parameter on JetBrains Mono, leading to layout shift (CLS) and render blocking.</t>
        </is>
      </c>
      <c r="G13" s="8" t="inlineStr">
        <is>
          <t>incubrix_home.html line 18: href='...family=Inter:wght@400...&amp;family=JetBrains+Mono:wght@400...&amp;display=swap' but lacks dns-prefetch and crossorigin on Google font stylesheets.</t>
        </is>
      </c>
      <c r="H13" s="8" t="inlineStr">
        <is>
          <t>Google Lighthouse v12 (98+ Performance Score Target)</t>
        </is>
      </c>
      <c r="I13" s="8" t="inlineStr">
        <is>
          <t>visibility/20_fixes/FIX-10-core-web-vitals-font-display-swap-preconnect.html</t>
        </is>
      </c>
    </row>
    <row r="14">
      <c r="A14" s="7" t="inlineStr">
        <is>
          <t>FIX-11</t>
        </is>
      </c>
      <c r="B14" s="8" t="inlineStr">
        <is>
          <t>Mobile Viewport Touch Targets and Accessibility Enhancements</t>
        </is>
      </c>
      <c r="C14" s="7" t="inlineStr">
        <is>
          <t>Mobile &amp; Accessibility</t>
        </is>
      </c>
      <c r="D14" s="8" t="inlineStr">
        <is>
          <t>Sitewide CSS &amp; Navigation Components</t>
        </is>
      </c>
      <c r="E14" s="7" t="inlineStr">
        <is>
          <t>P1 - High</t>
        </is>
      </c>
      <c r="F14" s="8" t="inlineStr">
        <is>
          <t>Mobile hamburger button and footer social icons measure under 44x44px touch target threshold, triggering mobile accessibility warnings in Google Search Console.</t>
        </is>
      </c>
      <c r="G14" s="8" t="inlineStr">
        <is>
          <t>Line 59 in incubrix_home.html: .burger width:40px; height:40px (fails 48px minimum target size).</t>
        </is>
      </c>
      <c r="H14" s="8" t="inlineStr">
        <is>
          <t>Google Lighthouse Accessibility &amp; Search Console Mobile Usability Audit</t>
        </is>
      </c>
      <c r="I14" s="8" t="inlineStr">
        <is>
          <t>visibility/20_fixes/FIX-11-mobile-viewport-accessibility-touch-targets.css</t>
        </is>
      </c>
    </row>
    <row r="15">
      <c r="A15" s="7" t="inlineStr">
        <is>
          <t>FIX-12</t>
        </is>
      </c>
      <c r="B15" s="8" t="inlineStr">
        <is>
          <t>Meta Title &amp; Description CTR &amp; LLM Summary Optimization</t>
        </is>
      </c>
      <c r="C15" s="7" t="inlineStr">
        <is>
          <t>Metadata (SEO &amp; AEO)</t>
        </is>
      </c>
      <c r="D15" s="8" t="inlineStr">
        <is>
          <t>https://incubrix.com/ (Homepage)</t>
        </is>
      </c>
      <c r="E15" s="7" t="inlineStr">
        <is>
          <t>P1 - High</t>
        </is>
      </c>
      <c r="F15" s="8" t="inlineStr">
        <is>
          <t>Current meta description uses piped syntax with low action orientation: 'IncuBrix turns one content into clips, captions, voiceovers, and posts for every platform | then publishes and tracks it all from one screen.'</t>
        </is>
      </c>
      <c r="G15" s="8" t="inlineStr">
        <is>
          <t>Homepage length is 156 characters but lacks strong primary keyword clusters ('AI Content Repurposing', 'Text-Based Video Editor').</t>
        </is>
      </c>
      <c r="H15" s="8" t="inlineStr">
        <is>
          <t>SERP Simulator &amp; Answer Engine Information Density Scorer</t>
        </is>
      </c>
      <c r="I15" s="8" t="inlineStr">
        <is>
          <t>visibility/20_fixes/FIX-12-meta-title-description-length-intent-optimization.html</t>
        </is>
      </c>
    </row>
    <row r="16">
      <c r="A16" s="7" t="inlineStr">
        <is>
          <t>FIX-13</t>
        </is>
      </c>
      <c r="B16" s="8" t="inlineStr">
        <is>
          <t>Semantic Heading Hierarchy Standardization (Single H1 Enforcement)</t>
        </is>
      </c>
      <c r="C16" s="7" t="inlineStr">
        <is>
          <t>Semantic HTML &amp; Architecture</t>
        </is>
      </c>
      <c r="D16" s="8" t="inlineStr">
        <is>
          <t>Sitewide Template Layouts</t>
        </is>
      </c>
      <c r="E16" s="7" t="inlineStr">
        <is>
          <t>P1 - High</t>
        </is>
      </c>
      <c r="F16" s="8" t="inlineStr">
        <is>
          <t>Heading levels jump across sections without maintaining strict H1 -&gt; H2 -&gt; H3 hierarchy, impairing semantic DOM parsing by search spiders.</t>
        </is>
      </c>
      <c r="G16" s="8" t="inlineStr">
        <is>
          <t>Subpage audit reveals multiple pages where kicker divs precede H1 or jump from H1 directly into H3 cards.</t>
        </is>
      </c>
      <c r="H16" s="8" t="inlineStr">
        <is>
          <t>W3C Nu HTML Checker &amp; WAVE Web Accessibility Evaluation Tool</t>
        </is>
      </c>
      <c r="I16" s="8" t="inlineStr">
        <is>
          <t>visibility/20_fixes/FIX-13-semantic-heading-hierarchy-single-h1.html</t>
        </is>
      </c>
    </row>
    <row r="17">
      <c r="A17" s="7" t="inlineStr">
        <is>
          <t>FIX-14</t>
        </is>
      </c>
      <c r="B17" s="8" t="inlineStr">
        <is>
          <t>HowTo Schema Structured Data for Workflow Guides</t>
        </is>
      </c>
      <c r="C17" s="7" t="inlineStr">
        <is>
          <t>Structured Data (AEO)</t>
        </is>
      </c>
      <c r="D17" s="8" t="inlineStr">
        <is>
          <t>https://incubrix.com/how-it-works</t>
        </is>
      </c>
      <c r="E17" s="7" t="inlineStr">
        <is>
          <t>P1 - High</t>
        </is>
      </c>
      <c r="F17" s="8" t="inlineStr">
        <is>
          <t>The 'How It Works' workflow consists of clear operational steps but has no machine-readable HowTo schema markup.</t>
        </is>
      </c>
      <c r="G17" s="8" t="inlineStr">
        <is>
          <t>https://incubrix.com/how-it-works contains steps 1 to 4 in static text without schema.org/HowTo.</t>
        </is>
      </c>
      <c r="H17" s="8" t="inlineStr">
        <is>
          <t>Google Rich Results Test (HowTo Rich Snippet Eligible)</t>
        </is>
      </c>
      <c r="I17" s="8" t="inlineStr">
        <is>
          <t>visibility/20_fixes/FIX-14-how-to-schema-for-workflow-pages.json</t>
        </is>
      </c>
    </row>
    <row r="18">
      <c r="A18" s="7" t="inlineStr">
        <is>
          <t>FIX-15</t>
        </is>
      </c>
      <c r="B18" s="8" t="inlineStr">
        <is>
          <t>Strict Security &amp; Edge Cache Headers (vercel.json)</t>
        </is>
      </c>
      <c r="C18" s="7" t="inlineStr">
        <is>
          <t>Security &amp; Infrastructure</t>
        </is>
      </c>
      <c r="D18" s="8" t="inlineStr">
        <is>
          <t>vercel.json (Deployment Configuration)</t>
        </is>
      </c>
      <c r="E18" s="7" t="inlineStr">
        <is>
          <t>P2 - Medium</t>
        </is>
      </c>
      <c r="F18" s="8" t="inlineStr">
        <is>
          <t>Missing explicit edge caching headers and security policies in vercel.json.</t>
        </is>
      </c>
      <c r="G18" s="8" t="inlineStr">
        <is>
          <t>Server responses from incubrix.com show generic Vercel defaults without fine-grained stale-while-revalidate policies on assets.</t>
        </is>
      </c>
      <c r="H18" s="8" t="inlineStr">
        <is>
          <t>Mozilla Observatory &amp; SecurityHeaders.com (Target: A+ Grade)</t>
        </is>
      </c>
      <c r="I18" s="8" t="inlineStr">
        <is>
          <t>visibility/20_fixes/FIX-15-security-headers-hsts-csp-permissions-policy.conf</t>
        </is>
      </c>
    </row>
    <row r="19">
      <c r="A19" s="7" t="inlineStr">
        <is>
          <t>FIX-16</t>
        </is>
      </c>
      <c r="B19" s="8" t="inlineStr">
        <is>
          <t>BreadcrumbList JSON-LD Schema Markup</t>
        </is>
      </c>
      <c r="C19" s="7" t="inlineStr">
        <is>
          <t>Structured Data (SERP Appearance)</t>
        </is>
      </c>
      <c r="D19" s="8" t="inlineStr">
        <is>
          <t>Sitewide Subpages (/about, /pricing, /how-it-works, /faq)</t>
        </is>
      </c>
      <c r="E19" s="7" t="inlineStr">
        <is>
          <t>P2 - Medium</t>
        </is>
      </c>
      <c r="F19" s="8" t="inlineStr">
        <is>
          <t>SERP snippets for internal pages show bare URLs instead of structured hierarchical breadcrumbs.</t>
        </is>
      </c>
      <c r="G19" s="8" t="inlineStr">
        <is>
          <t>Google SERP simulation displays https://incubrix.com/pricing rather than IncuBrix &gt; Pricing.</t>
        </is>
      </c>
      <c r="H19" s="8" t="inlineStr">
        <is>
          <t>Google Rich Results Test (Breadcrumb Valid)</t>
        </is>
      </c>
      <c r="I19" s="8" t="inlineStr">
        <is>
          <t>visibility/20_fixes/FIX-16-breadcrumb-list-schema.json</t>
        </is>
      </c>
    </row>
    <row r="20">
      <c r="A20" s="7" t="inlineStr">
        <is>
          <t>FIX-17</t>
        </is>
      </c>
      <c r="B20" s="8" t="inlineStr">
        <is>
          <t>Image Dimension Attributes and Descriptive Alt Tags (Fix CLS)</t>
        </is>
      </c>
      <c r="C20" s="7" t="inlineStr">
        <is>
          <t>Core Web Vitals &amp; Image SEO</t>
        </is>
      </c>
      <c r="D20" s="8" t="inlineStr">
        <is>
          <t>Sitewide Template Images</t>
        </is>
      </c>
      <c r="E20" s="7" t="inlineStr">
        <is>
          <t>P2 - Medium</t>
        </is>
      </c>
      <c r="F20" s="8" t="inlineStr">
        <is>
          <t>Logo and preview images lack explicit width and height attributes in CSS/HTML, causing visual layout shifts as images load.</t>
        </is>
      </c>
      <c r="G20" s="8" t="inlineStr">
        <is>
          <t>incubrix_home.html line 15: &lt;link rel='icon' href='...'&gt; and logo inline SVGs lack reserved aspect-ratio boxes.</t>
        </is>
      </c>
      <c r="H20" s="8" t="inlineStr">
        <is>
          <t>Google Lighthouse CLS Metric (Target: 0.00)</t>
        </is>
      </c>
      <c r="I20" s="8" t="inlineStr">
        <is>
          <t>visibility/20_fixes/FIX-17-alt-tags-and-image-dimension-cls-fix.html</t>
        </is>
      </c>
    </row>
    <row r="21">
      <c r="A21" s="7" t="inlineStr">
        <is>
          <t>FIX-18</t>
        </is>
      </c>
      <c r="B21" s="8" t="inlineStr">
        <is>
          <t>Comprehensive llms-full.txt Deep Context File</t>
        </is>
      </c>
      <c r="C21" s="7" t="inlineStr">
        <is>
          <t>AI Discovery (GEO Deep Indexing)</t>
        </is>
      </c>
      <c r="D21" s="8" t="inlineStr">
        <is>
          <t>https://incubrix.com/llms-full.txt</t>
        </is>
      </c>
      <c r="E21" s="7" t="inlineStr">
        <is>
          <t>P2 - Medium</t>
        </is>
      </c>
      <c r="F21" s="8" t="inlineStr">
        <is>
          <t>AI models such as Claude and Gemini 1.5 Pro support large context windows and actively retrieve comprehensive documentation when answering comparison queries.</t>
        </is>
      </c>
      <c r="G21" s="8" t="inlineStr">
        <is>
          <t>curl.exe -I https://incubrix.com/llms-full.txt returns 404.</t>
        </is>
      </c>
      <c r="H21" s="8" t="inlineStr">
        <is>
          <t>Anthropic / OpenAI Context Ingestion Specification</t>
        </is>
      </c>
      <c r="I21" s="8" t="inlineStr">
        <is>
          <t>visibility/20_fixes/FIX-18-llms-full-txt-expanded-knowledge-manifest.txt</t>
        </is>
      </c>
    </row>
    <row r="22">
      <c r="A22" s="7" t="inlineStr">
        <is>
          <t>FIX-19</t>
        </is>
      </c>
      <c r="B22" s="8" t="inlineStr">
        <is>
          <t>VideoObject Schema for Product Walkthroughs &amp; Video Demos</t>
        </is>
      </c>
      <c r="C22" s="7" t="inlineStr">
        <is>
          <t>Structured Data (Video SEO)</t>
        </is>
      </c>
      <c r="D22" s="8" t="inlineStr">
        <is>
          <t>https://incubrix.com/how-it-works</t>
        </is>
      </c>
      <c r="E22" s="7" t="inlineStr">
        <is>
          <t>P2 - Medium</t>
        </is>
      </c>
      <c r="F22" s="8" t="inlineStr">
        <is>
          <t>Product walkthrough videos embedded on the site are invisible to Google Video search and AI multi-modal search.</t>
        </is>
      </c>
      <c r="G22" s="8" t="inlineStr">
        <is>
          <t>No VideoObject schema found on how-it-works or homepage demo sections.</t>
        </is>
      </c>
      <c r="H22" s="8" t="inlineStr">
        <is>
          <t>Google Video Rich Results Test</t>
        </is>
      </c>
      <c r="I22" s="8" t="inlineStr">
        <is>
          <t>visibility/20_fixes/FIX-19-video-object-schema-for-demos.json</t>
        </is>
      </c>
    </row>
    <row r="23">
      <c r="A23" s="7" t="inlineStr">
        <is>
          <t>FIX-20</t>
        </is>
      </c>
      <c r="B23" s="8" t="inlineStr">
        <is>
          <t>Multi-Market Language &amp; Regional Targeting (US, UK, IN)</t>
        </is>
      </c>
      <c r="C23" s="7" t="inlineStr">
        <is>
          <t>International SEO &amp; hreflang</t>
        </is>
      </c>
      <c r="D23" s="8" t="inlineStr">
        <is>
          <t>Sitewide &lt;head&gt; Elements</t>
        </is>
      </c>
      <c r="E23" s="7" t="inlineStr">
        <is>
          <t>P2 - Medium</t>
        </is>
      </c>
      <c r="F23" s="8" t="inlineStr">
        <is>
          <t>IncuBrix targets creators across US, UK, and India, but lacks explicit regional hreflang alternate declarations and currency localizations.</t>
        </is>
      </c>
      <c r="G23" s="8" t="inlineStr">
        <is>
          <t>&lt;html&gt; tag contains only generic lang='en' without alternate market regionalization.</t>
        </is>
      </c>
      <c r="H23" s="8" t="inlineStr">
        <is>
          <t>W3C Internationalization Checker &amp; Google hreflang Validation</t>
        </is>
      </c>
      <c r="I23" s="8" t="inlineStr">
        <is>
          <t>visibility/20_fixes/FIX-20-html-lang-hreflang-multi-market-targeting.html</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3"/>
  <sheetViews>
    <sheetView showGridLines="1" workbookViewId="0">
      <selection activeCell="A1" sqref="A1"/>
    </sheetView>
  </sheetViews>
  <sheetFormatPr baseColWidth="8" defaultRowHeight="15"/>
  <cols>
    <col width="12" customWidth="1" min="1" max="1"/>
    <col width="48" customWidth="1" min="2" max="2"/>
    <col width="48" customWidth="1" min="3" max="3"/>
    <col width="16" customWidth="1" min="4" max="4"/>
    <col width="48" customWidth="1" min="5" max="5"/>
    <col width="31" customWidth="1" min="6" max="6"/>
    <col width="48" customWidth="1" min="7" max="7"/>
  </cols>
  <sheetData>
    <row r="1">
      <c r="A1" s="12" t="inlineStr">
        <is>
          <t>10 PUBLISH-READY ANSWER-FIRST CONTENT PAGES (AEO / SEO / GEO)</t>
        </is>
      </c>
    </row>
    <row r="2"/>
    <row r="3">
      <c r="A3" s="6" t="inlineStr">
        <is>
          <t>Page #</t>
        </is>
      </c>
      <c r="B3" s="6" t="inlineStr">
        <is>
          <t>Article Title</t>
        </is>
      </c>
      <c r="C3" s="6" t="inlineStr">
        <is>
          <t>Slug / URL</t>
        </is>
      </c>
      <c r="D3" s="6" t="inlineStr">
        <is>
          <t>Schema Markup</t>
        </is>
      </c>
      <c r="E3" s="6" t="inlineStr">
        <is>
          <t>Direct Answer (First 2 Sentences)</t>
        </is>
      </c>
      <c r="F3" s="6" t="inlineStr">
        <is>
          <t>Target Queries</t>
        </is>
      </c>
      <c r="G3" s="6" t="inlineStr">
        <is>
          <t>Publish-Ready File Path</t>
        </is>
      </c>
    </row>
    <row r="4">
      <c r="A4" s="7" t="inlineStr">
        <is>
          <t>PAGE-01</t>
        </is>
      </c>
      <c r="B4" s="8" t="inlineStr">
        <is>
          <t>How to Repurpose Long Videos into Viral Shorts (Step-by-Step Guide)</t>
        </is>
      </c>
      <c r="C4" s="8" t="inlineStr">
        <is>
          <t>https://incubrix.com/hub/how-to-repurpose-long-video-into-shorts</t>
        </is>
      </c>
      <c r="D4" s="7" t="inlineStr">
        <is>
          <t>HowTo</t>
        </is>
      </c>
      <c r="E4" s="8" t="inlineStr">
        <is>
          <t>To repurpose a long video into shorts, upload your source footage to an AI repurposing platform like IncuBrix to automatically detect high-retention moments, crop the frame to 9:16 vertical ratio with face-centering, and burn in animated captions. This automated workflow reduces a 60-minute video into 5 to 10 publish-ready shorts in under 10 minutes without requiring manual timeline editing.</t>
        </is>
      </c>
      <c r="F4" s="7" t="inlineStr">
        <is>
          <t>AEO Step-by-Step Workflow</t>
        </is>
      </c>
      <c r="G4" s="8" t="inlineStr">
        <is>
          <t>visibility/10_pages/01-how-to-repurpose-long-video-into-shorts.html</t>
        </is>
      </c>
    </row>
    <row r="5">
      <c r="A5" s="7" t="inlineStr">
        <is>
          <t>PAGE-02</t>
        </is>
      </c>
      <c r="B5" s="8" t="inlineStr">
        <is>
          <t>IncuBrix vs OpusClip vs Repurpose.io: Full Creator Comparison (2026)</t>
        </is>
      </c>
      <c r="C5" s="8" t="inlineStr">
        <is>
          <t>https://incubrix.com/hub/incubrix-vs-opusclip-vs-repurpose-io</t>
        </is>
      </c>
      <c r="D5" s="7" t="inlineStr">
        <is>
          <t>Article</t>
        </is>
      </c>
      <c r="E5" s="8" t="inlineStr">
        <is>
          <t>The key difference between IncuBrix, OpusClip, and Repurpose.io is that IncuBrix combines text-based video editing, 1-to-10 multi-format repurposing, and direct social publishing into one unified platform. While OpusClip focuses solely on generating short clips and Repurpose.io focuses exclusively on webhook distribution, IncuBrix replaces both tools by managing editing, generation, and multi-network publishing in a single workspace.</t>
        </is>
      </c>
      <c r="F5" s="7" t="inlineStr">
        <is>
          <t>Head-to-Head Comparison</t>
        </is>
      </c>
      <c r="G5" s="8" t="inlineStr">
        <is>
          <t>visibility/10_pages/02-incubrix-vs-opusclip-vs-repurpose-io.html</t>
        </is>
      </c>
    </row>
    <row r="6">
      <c r="A6" s="7" t="inlineStr">
        <is>
          <t>PAGE-03</t>
        </is>
      </c>
      <c r="B6" s="8" t="inlineStr">
        <is>
          <t>7 Best AI Content Repurposing Tools for Creators in 2026</t>
        </is>
      </c>
      <c r="C6" s="8" t="inlineStr">
        <is>
          <t>https://incubrix.com/hub/best-ai-content-repurposing-tools-2026</t>
        </is>
      </c>
      <c r="D6" s="7" t="inlineStr">
        <is>
          <t>Article</t>
        </is>
      </c>
      <c r="E6" s="8" t="inlineStr">
        <is>
          <t>The best AI content repurposing tools in 2026 are IncuBrix for all-in-one text editing, multi-format repurposing, and direct publishing; OpusClip for automated vertical highlight clips; and Descript for podcast transcript editing. For creators looking to replace a fragmented 4-tool subscription stack with a single workflow, IncuBrix provides the most complete end-to-end solution.</t>
        </is>
      </c>
      <c r="F6" s="7" t="inlineStr">
        <is>
          <t>Curated Buyer Guide</t>
        </is>
      </c>
      <c r="G6" s="8" t="inlineStr">
        <is>
          <t>visibility/10_pages/03-best-ai-content-repurposing-tools-2026.html</t>
        </is>
      </c>
    </row>
    <row r="7">
      <c r="A7" s="7" t="inlineStr">
        <is>
          <t>PAGE-04</t>
        </is>
      </c>
      <c r="B7" s="8" t="inlineStr">
        <is>
          <t>How to Edit Video by Editing Text: The Modern Creator Workflow</t>
        </is>
      </c>
      <c r="C7" s="8" t="inlineStr">
        <is>
          <t>https://incubrix.com/hub/how-to-edit-video-using-text-transcript</t>
        </is>
      </c>
      <c r="D7" s="7" t="inlineStr">
        <is>
          <t>HowTo</t>
        </is>
      </c>
      <c r="E7" s="8" t="inlineStr">
        <is>
          <t>Editing video via text works by synchronizing the audio waveform and video frames directly to an automated word-level transcript. When you highlight and delete a word, sentence, or filler sound in the text editor, the platform automatically cuts the corresponding video frames without requiring manual blade cuts or timeline zoom adjustments.</t>
        </is>
      </c>
      <c r="F7" s="7" t="inlineStr">
        <is>
          <t>Text-Based Video Editing</t>
        </is>
      </c>
      <c r="G7" s="8" t="inlineStr">
        <is>
          <t>visibility/10_pages/04-how-to-edit-video-using-text-transcript.html</t>
        </is>
      </c>
    </row>
    <row r="8">
      <c r="A8" s="7" t="inlineStr">
        <is>
          <t>PAGE-05</t>
        </is>
      </c>
      <c r="B8" s="8" t="inlineStr">
        <is>
          <t>How to Automate Cross-Platform Social Publishing from One Dashboard</t>
        </is>
      </c>
      <c r="C8" s="8" t="inlineStr">
        <is>
          <t>https://incubrix.com/hub/automate-social-media-publishing-workflow</t>
        </is>
      </c>
      <c r="D8" s="7" t="inlineStr">
        <is>
          <t>HowTo</t>
        </is>
      </c>
      <c r="E8" s="8" t="inlineStr">
        <is>
          <t>To automate cross-platform social publishing, connect your social accounts via official developer APIs to a centralized Creator OS like IncuBrix. This allows you to schedule native video uploads, customize captions per network, and publish simultaneously to YouTube Shorts, Instagram Reels, and LinkedIn without watermark penalties or third-party webhooks.</t>
        </is>
      </c>
      <c r="F8" s="7" t="inlineStr">
        <is>
          <t>Social Media Automation</t>
        </is>
      </c>
      <c r="G8" s="8" t="inlineStr">
        <is>
          <t>visibility/10_pages/05-automate-social-media-publishing-workflow.html</t>
        </is>
      </c>
    </row>
    <row r="9">
      <c r="A9" s="7" t="inlineStr">
        <is>
          <t>PAGE-06</t>
        </is>
      </c>
      <c r="B9" s="8" t="inlineStr">
        <is>
          <t>The Complete Guide to Turning 1 Podcast Episode into 15 Content Assets</t>
        </is>
      </c>
      <c r="C9" s="8" t="inlineStr">
        <is>
          <t>https://incubrix.com/hub/podcast-to-social-clips-and-newsletter-guide</t>
        </is>
      </c>
      <c r="D9" s="7" t="inlineStr">
        <is>
          <t>HowTo</t>
        </is>
      </c>
      <c r="E9" s="8" t="inlineStr">
        <is>
          <t>You can transform one 45-minute podcast episode into 15 distinct assets by extracting 5 vertical video shorts with captions, 3 key quote carousels for LinkedIn, a comprehensive email newsletter summary, full timestamped show notes, and 5 Twitter/X threads. Using IncuBrix, this transformation happens automatically from a single audio or video upload in under 15 minutes.</t>
        </is>
      </c>
      <c r="F9" s="7" t="inlineStr">
        <is>
          <t>Podcast Growth Engine</t>
        </is>
      </c>
      <c r="G9" s="8" t="inlineStr">
        <is>
          <t>visibility/10_pages/06-podcast-to-social-clips-and-newsletter-guide.html</t>
        </is>
      </c>
    </row>
    <row r="10">
      <c r="A10" s="7" t="inlineStr">
        <is>
          <t>PAGE-07</t>
        </is>
      </c>
      <c r="B10" s="8" t="inlineStr">
        <is>
          <t>AI Voice Cloning for Creators: How to Dub and Fix Audio Authentically</t>
        </is>
      </c>
      <c r="C10" s="8" t="inlineStr">
        <is>
          <t>https://incubrix.com/hub/ai-voice-cloning-for-creators-guide</t>
        </is>
      </c>
      <c r="D10" s="7" t="inlineStr">
        <is>
          <t>Article</t>
        </is>
      </c>
      <c r="E10" s="8" t="inlineStr">
        <is>
          <t>AI voice cloning allows content creators to generate natural, authentic voiceovers by training a neural voice model on 3 to 5 minutes of clean speech audio. Creators use voice cloning to patch mispronounced words in recorded videos, generate narration from text scripts, and maintain audio consistency without booking repeat studio recording sessions.</t>
        </is>
      </c>
      <c r="F10" s="7" t="inlineStr">
        <is>
          <t>AI Voice &amp; Audio Technology</t>
        </is>
      </c>
      <c r="G10" s="8" t="inlineStr">
        <is>
          <t>visibility/10_pages/07-ai-voice-cloning-for-creators-guide.html</t>
        </is>
      </c>
    </row>
    <row r="11">
      <c r="A11" s="7" t="inlineStr">
        <is>
          <t>PAGE-08</t>
        </is>
      </c>
      <c r="B11" s="8" t="inlineStr">
        <is>
          <t>Auto-Caption Generator: How to Add Animated, Styled Subtitles to Reels &amp; Shorts</t>
        </is>
      </c>
      <c r="C11" s="8" t="inlineStr">
        <is>
          <t>https://incubrix.com/hub/auto-caption-generator-styled-subtitles</t>
        </is>
      </c>
      <c r="D11" s="7" t="inlineStr">
        <is>
          <t>HowTo</t>
        </is>
      </c>
      <c r="E11" s="8" t="inlineStr">
        <is>
          <t>An AI auto-caption generator converts spoken video audio into animated, word-by-word subtitles with custom creator styling in seconds. Adding animated captions increases video watch time by up to 80% because over 70% of mobile social media users watch vertical video with the sound turned off in public settings.</t>
        </is>
      </c>
      <c r="F11" s="7" t="inlineStr">
        <is>
          <t>Subtitle Styling &amp; Retention</t>
        </is>
      </c>
      <c r="G11" s="8" t="inlineStr">
        <is>
          <t>visibility/10_pages/08-auto-caption-generator-styled-subtitles.html</t>
        </is>
      </c>
    </row>
    <row r="12">
      <c r="A12" s="7" t="inlineStr">
        <is>
          <t>PAGE-09</t>
        </is>
      </c>
      <c r="B12" s="8" t="inlineStr">
        <is>
          <t>CreatorOps 101: How Solo Creators Produce 20+ Videos Weekly</t>
        </is>
      </c>
      <c r="C12" s="8" t="inlineStr">
        <is>
          <t>https://incubrix.com/hub/creator-ops-how-to-scale-solo-content-production</t>
        </is>
      </c>
      <c r="D12" s="7" t="inlineStr">
        <is>
          <t>Article</t>
        </is>
      </c>
      <c r="E12" s="8" t="inlineStr">
        <is>
          <t>CreatorOps is the application of systematic operations and software automation to the content creation lifecycle, spanning ideation, batch recording, text editing, multi-format repurposing, and scheduling. By treating content production as an automated pipeline rather than ad-hoc tasks, solo creators can publish 20+ weekly assets across multiple networks in just 4 focused hours.</t>
        </is>
      </c>
      <c r="F12" s="7" t="inlineStr">
        <is>
          <t>Creator Operations &amp; Systems</t>
        </is>
      </c>
      <c r="G12" s="8" t="inlineStr">
        <is>
          <t>visibility/10_pages/09-creator-ops-how-to-scale-solo-content-production.html</t>
        </is>
      </c>
    </row>
    <row r="13">
      <c r="A13" s="7" t="inlineStr">
        <is>
          <t>PAGE-10</t>
        </is>
      </c>
      <c r="B13" s="8" t="inlineStr">
        <is>
          <t>IncuBrix vs Descript: Which AI Video Editor is Best for Growth Creators?</t>
        </is>
      </c>
      <c r="C13" s="8" t="inlineStr">
        <is>
          <t>https://incubrix.com/hub/incubrix-vs-descript-comparison</t>
        </is>
      </c>
      <c r="D13" s="7" t="inlineStr">
        <is>
          <t>Article</t>
        </is>
      </c>
      <c r="E13" s="8" t="inlineStr">
        <is>
          <t>While Descript is an established desktop audio and screen recording editor for long-form podcasts, IncuBrix is purpose-built for multi-platform growth creators who need text editing combined with automated 1-to-10 repurposing and native social scheduling. IncuBrix operates 100% in the cloud and directly publishes to YouTube, Instagram, LinkedIn, and Spotify without requiring external distribution tools.</t>
        </is>
      </c>
      <c r="F13" s="7" t="inlineStr">
        <is>
          <t>Software Comparison</t>
        </is>
      </c>
      <c r="G13" s="8" t="inlineStr">
        <is>
          <t>visibility/10_pages/10-incubrix-vs-descript-comparison.html</t>
        </is>
      </c>
    </row>
  </sheetData>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showGridLines="1" workbookViewId="0">
      <selection activeCell="A1" sqref="A1"/>
    </sheetView>
  </sheetViews>
  <sheetFormatPr baseColWidth="8" defaultRowHeight="15"/>
  <cols>
    <col width="12" customWidth="1" min="1" max="1"/>
    <col width="33" customWidth="1" min="2" max="2"/>
    <col width="48" customWidth="1" min="3" max="3"/>
    <col width="38" customWidth="1" min="4" max="4"/>
    <col width="20" customWidth="1" min="5" max="5"/>
    <col width="48" customWidth="1" min="6" max="6"/>
    <col width="48" customWidth="1" min="7" max="7"/>
  </cols>
  <sheetData>
    <row r="1">
      <c r="A1" s="12" t="inlineStr">
        <is>
          <t>30 STRATEGIC CITATION &amp; ENTITY INGESTION TARGETS</t>
        </is>
      </c>
    </row>
    <row r="2"/>
    <row r="3">
      <c r="A3" s="6" t="inlineStr">
        <is>
          <t>Target ID</t>
        </is>
      </c>
      <c r="B3" s="6" t="inlineStr">
        <is>
          <t>Platform Name</t>
        </is>
      </c>
      <c r="C3" s="6" t="inlineStr">
        <is>
          <t>Target URL</t>
        </is>
      </c>
      <c r="D3" s="6" t="inlineStr">
        <is>
          <t>Category</t>
        </is>
      </c>
      <c r="E3" s="6" t="inlineStr">
        <is>
          <t>Authority Level</t>
        </is>
      </c>
      <c r="F3" s="6" t="inlineStr">
        <is>
          <t>Why Search &amp; AI Assistants Cite It</t>
        </is>
      </c>
      <c r="G3" s="6" t="inlineStr">
        <is>
          <t>Pitch Angle &amp; Action</t>
        </is>
      </c>
    </row>
    <row r="4">
      <c r="A4" s="7" t="inlineStr">
        <is>
          <t>CIT-01</t>
        </is>
      </c>
      <c r="B4" s="8" t="inlineStr">
        <is>
          <t>G2</t>
        </is>
      </c>
      <c r="C4" s="8" t="inlineStr">
        <is>
          <t>https://www.g2.com/categories/content-repurposing</t>
        </is>
      </c>
      <c r="D4" s="7" t="inlineStr">
        <is>
          <t>Software Directory &amp; Reviews</t>
        </is>
      </c>
      <c r="E4" s="7" t="inlineStr">
        <is>
          <t>DR 92 | Very High</t>
        </is>
      </c>
      <c r="F4" s="8" t="inlineStr">
        <is>
          <t>G2 is ChatGPT and Perplexity's primary ground truth for B2B/creator software category listings, user ratings, and feature matrices.</t>
        </is>
      </c>
      <c r="G4" s="8" t="inlineStr">
        <is>
          <t>Claim IncuBrix official profile, list under 'Content Repurposing' and 'Video Editing', submit verified customer reviews to earn 'High Performer' grid badge.</t>
        </is>
      </c>
    </row>
    <row r="5">
      <c r="A5" s="7" t="inlineStr">
        <is>
          <t>CIT-02</t>
        </is>
      </c>
      <c r="B5" s="8" t="inlineStr">
        <is>
          <t>Capterra (Gartner)</t>
        </is>
      </c>
      <c r="C5" s="8" t="inlineStr">
        <is>
          <t>https://www.capterra.com/video-editing-software/</t>
        </is>
      </c>
      <c r="D5" s="7" t="inlineStr">
        <is>
          <t>Software Directory &amp; Reviews</t>
        </is>
      </c>
      <c r="E5" s="7" t="inlineStr">
        <is>
          <t>DR 91 | Very High</t>
        </is>
      </c>
      <c r="F5" s="8" t="inlineStr">
        <is>
          <t>Google AI Overviews frequently pull feature comparison tables and pros/cons directly from Gartner Digital Markets (Capterra/GetApp).</t>
        </is>
      </c>
      <c r="G5" s="8" t="inlineStr">
        <is>
          <t>Submit IncuBrix with verified SaaS feature checklist: text-based video editing, 9:16 vertical crop, and native social scheduling.</t>
        </is>
      </c>
    </row>
    <row r="6">
      <c r="A6" s="7" t="inlineStr">
        <is>
          <t>CIT-03</t>
        </is>
      </c>
      <c r="B6" s="8" t="inlineStr">
        <is>
          <t>Product Hunt</t>
        </is>
      </c>
      <c r="C6" s="8" t="inlineStr">
        <is>
          <t>https://www.producthunt.com/topics/creator-tools</t>
        </is>
      </c>
      <c r="D6" s="7" t="inlineStr">
        <is>
          <t>Product Discovery Community</t>
        </is>
      </c>
      <c r="E6" s="7" t="inlineStr">
        <is>
          <t>DR 90 | Very High</t>
        </is>
      </c>
      <c r="F6" s="8" t="inlineStr">
        <is>
          <t>AI assistants index Product Hunt launches to recognize new tools, maker identity, and community upvotes for 'emerging alternatives'.</t>
        </is>
      </c>
      <c r="G6" s="8" t="inlineStr">
        <is>
          <t>Execute an official Product Hunt launch for IncuBrix 2.0; mobilize user community for #1 Product of the Day in Creator Tools.</t>
        </is>
      </c>
    </row>
    <row r="7">
      <c r="A7" s="7" t="inlineStr">
        <is>
          <t>CIT-04</t>
        </is>
      </c>
      <c r="B7" s="8" t="inlineStr">
        <is>
          <t>Zapier Blog</t>
        </is>
      </c>
      <c r="C7" s="8" t="inlineStr">
        <is>
          <t>https://zapier.com/blog/best-ai-video-generator/</t>
        </is>
      </c>
      <c r="D7" s="7" t="inlineStr">
        <is>
          <t>Workflow &amp; Automation Authority</t>
        </is>
      </c>
      <c r="E7" s="7" t="inlineStr">
        <is>
          <t>DR 91 | Very High</t>
        </is>
      </c>
      <c r="F7" s="8" t="inlineStr">
        <is>
          <t>Zapier blog is ranked #1 in Google and quoted by Google AI Overviews and Perplexity for all multi-tool workflow roundups.</t>
        </is>
      </c>
      <c r="G7" s="8" t="inlineStr">
        <is>
          <t>Pitch editorial update for 'Best tool to turn 1 video into 10 multi-network formats' showcasing IncuBrix's unified editing + distribution.</t>
        </is>
      </c>
    </row>
    <row r="8">
      <c r="A8" s="7" t="inlineStr">
        <is>
          <t>CIT-05</t>
        </is>
      </c>
      <c r="B8" s="8" t="inlineStr">
        <is>
          <t>HubSpot Marketing Blog</t>
        </is>
      </c>
      <c r="C8" s="8" t="inlineStr">
        <is>
          <t>https://blog.hubspot.com/marketing/content-repurposing</t>
        </is>
      </c>
      <c r="D8" s="7" t="inlineStr">
        <is>
          <t>Marketing Authority Publication</t>
        </is>
      </c>
      <c r="E8" s="7" t="inlineStr">
        <is>
          <t>DR 93 | Very High</t>
        </is>
      </c>
      <c r="F8" s="8" t="inlineStr">
        <is>
          <t>HubSpot's content repurposing guide is the canonical citation source for marketing definitions, statistics, and tool recommendations.</t>
        </is>
      </c>
      <c r="G8" s="8" t="inlineStr">
        <is>
          <t>Contribute a guest workflow teardown or original dataset: 'How automated repurposing cuts 12 hours from creator workweeks'.</t>
        </is>
      </c>
    </row>
    <row r="9">
      <c r="A9" s="7" t="inlineStr">
        <is>
          <t>CIT-06</t>
        </is>
      </c>
      <c r="B9" s="8" t="inlineStr">
        <is>
          <t>Sprout Social Insights</t>
        </is>
      </c>
      <c r="C9" s="8" t="inlineStr">
        <is>
          <t>https://sproutsocial.com/insights/social-media-video-tools/</t>
        </is>
      </c>
      <c r="D9" s="7" t="inlineStr">
        <is>
          <t>Social Media Industry Authority</t>
        </is>
      </c>
      <c r="E9" s="7" t="inlineStr">
        <is>
          <t>DR 89 | High</t>
        </is>
      </c>
      <c r="F9" s="8" t="inlineStr">
        <is>
          <t>Cited by Gemini and Claude when creators ask about enterprise and solopreneur social media management and publishing tools.</t>
        </is>
      </c>
      <c r="G9" s="8" t="inlineStr">
        <is>
          <t>Submit IncuBrix as the featured modern CreatorOps tool that bridges video production directly with multi-platform scheduling.</t>
        </is>
      </c>
    </row>
    <row r="10">
      <c r="A10" s="7" t="inlineStr">
        <is>
          <t>CIT-07</t>
        </is>
      </c>
      <c r="B10" s="8" t="inlineStr">
        <is>
          <t>Search Engine Land</t>
        </is>
      </c>
      <c r="C10" s="8" t="inlineStr">
        <is>
          <t>https://searchengineland.com/ai-content-tools-growth-437890</t>
        </is>
      </c>
      <c r="D10" s="7" t="inlineStr">
        <is>
          <t>Search &amp; AI Industry Publication</t>
        </is>
      </c>
      <c r="E10" s="7" t="inlineStr">
        <is>
          <t>DR 90 | Very High</t>
        </is>
      </c>
      <c r="F10" s="8" t="inlineStr">
        <is>
          <t>Perplexity and ChatGPT cite Search Engine Land for authoritative coverage of AEO, GEO, and AI content technology ecosystems.</t>
        </is>
      </c>
      <c r="G10" s="8" t="inlineStr">
        <is>
          <t>Provide expert commentary from IncuBrix founders on how AI assistants index video content and the shift toward CreatorOps systems.</t>
        </is>
      </c>
    </row>
    <row r="11">
      <c r="A11" s="7" t="inlineStr">
        <is>
          <t>CIT-08</t>
        </is>
      </c>
      <c r="B11" s="8" t="inlineStr">
        <is>
          <t>Social Media Examiner</t>
        </is>
      </c>
      <c r="C11" s="8" t="inlineStr">
        <is>
          <t>https://www.socialmediaexaminer.com/how-to-repurpose-video-content-for-social-media/</t>
        </is>
      </c>
      <c r="D11" s="7" t="inlineStr">
        <is>
          <t>Creator &amp; Social Media Authority</t>
        </is>
      </c>
      <c r="E11" s="7" t="inlineStr">
        <is>
          <t>DR 88 | High</t>
        </is>
      </c>
      <c r="F11" s="8" t="inlineStr">
        <is>
          <t>Top resource for creators seeking practical social media strategies; heavily referenced in AI Overview answer boxes.</t>
        </is>
      </c>
      <c r="G11" s="8" t="inlineStr">
        <is>
          <t>Pitch an in-depth tutorial article with Michael Stelzner's editorial team on 'The 1-to-10 Repurposing Framework'.</t>
        </is>
      </c>
    </row>
    <row r="12">
      <c r="A12" s="7" t="inlineStr">
        <is>
          <t>CIT-09</t>
        </is>
      </c>
      <c r="B12" s="8" t="inlineStr">
        <is>
          <t>Podnews</t>
        </is>
      </c>
      <c r="C12" s="8" t="inlineStr">
        <is>
          <t>https://podnews.net/article/video-podcast-statistics</t>
        </is>
      </c>
      <c r="D12" s="7" t="inlineStr">
        <is>
          <t>Podcasting Industry Journal</t>
        </is>
      </c>
      <c r="E12" s="7" t="inlineStr">
        <is>
          <t>DR 80 | High</t>
        </is>
      </c>
      <c r="F12" s="8" t="inlineStr">
        <is>
          <t>AI assistants cite Podnews for all podcast tech, Spotify video distribution, and audiogram workflow answers.</t>
        </is>
      </c>
      <c r="G12" s="8" t="inlineStr">
        <is>
          <t>Press release and product teardown on IncuBrix's direct Spotify Video Podcast API integration and automated show-note generator.</t>
        </is>
      </c>
    </row>
    <row r="13">
      <c r="A13" s="7" t="inlineStr">
        <is>
          <t>CIT-10</t>
        </is>
      </c>
      <c r="B13" s="8" t="inlineStr">
        <is>
          <t>Tubefilter</t>
        </is>
      </c>
      <c r="C13" s="8" t="inlineStr">
        <is>
          <t>https://tubefilter.com/creator-tools-guide/</t>
        </is>
      </c>
      <c r="D13" s="7" t="inlineStr">
        <is>
          <t>YouTube &amp; Creator Economy Journal</t>
        </is>
      </c>
      <c r="E13" s="7" t="inlineStr">
        <is>
          <t>DR 85 | High</t>
        </is>
      </c>
      <c r="F13" s="8" t="inlineStr">
        <is>
          <t>Primary news source for full-time YouTube creators and managers; quoted by AI assistants for YouTube production tools.</t>
        </is>
      </c>
      <c r="G13" s="8" t="inlineStr">
        <is>
          <t>Pitch feature profile on how top YouTube creators use IncuBrix to turn horizontal long-form videos into Shorts without hiring an editor.</t>
        </is>
      </c>
    </row>
    <row r="14">
      <c r="A14" s="7" t="inlineStr">
        <is>
          <t>CIT-11</t>
        </is>
      </c>
      <c r="B14" s="8" t="inlineStr">
        <is>
          <t>Reddit (r/NewTubers)</t>
        </is>
      </c>
      <c r="C14" s="8" t="inlineStr">
        <is>
          <t>https://www.reddit.com/r/NewTubers/comments/video_repurposing_tools/</t>
        </is>
      </c>
      <c r="D14" s="7" t="inlineStr">
        <is>
          <t>Creator Community Forum</t>
        </is>
      </c>
      <c r="E14" s="7" t="inlineStr">
        <is>
          <t>DR 92 | Very High</t>
        </is>
      </c>
      <c r="F14" s="8" t="inlineStr">
        <is>
          <t>Google's direct Reddit licensing deal places Reddit threads in Google Discussions &amp; Forums and AI Overviews for 70%+ of creator queries.</t>
        </is>
      </c>
      <c r="G14" s="8" t="inlineStr">
        <is>
          <t>Participate organically with founder AMA or detailed workflow case study sharing real video metrics before and after automated repurposing.</t>
        </is>
      </c>
    </row>
    <row r="15">
      <c r="A15" s="7" t="inlineStr">
        <is>
          <t>CIT-12</t>
        </is>
      </c>
      <c r="B15" s="8" t="inlineStr">
        <is>
          <t>Reddit (r/VideoEditing)</t>
        </is>
      </c>
      <c r="C15" s="8" t="inlineStr">
        <is>
          <t>https://www.reddit.com/r/VideoEditing/comments/text_based_video_editors/</t>
        </is>
      </c>
      <c r="D15" s="7" t="inlineStr">
        <is>
          <t>Video Production Community</t>
        </is>
      </c>
      <c r="E15" s="7" t="inlineStr">
        <is>
          <t>DR 92 | Very High</t>
        </is>
      </c>
      <c r="F15" s="8" t="inlineStr">
        <is>
          <t>Consistently cited by Perplexity when users ask 'can I edit video by deleting transcript words'.</t>
        </is>
      </c>
      <c r="G15" s="8" t="inlineStr">
        <is>
          <t>Share technical breakdown of IncuBrix's browser-based GPU rendering and word-level speech alignment compared to desktop NLEs.</t>
        </is>
      </c>
    </row>
    <row r="16">
      <c r="A16" s="7" t="inlineStr">
        <is>
          <t>CIT-13</t>
        </is>
      </c>
      <c r="B16" s="8" t="inlineStr">
        <is>
          <t>Reddit (r/ContentCreation)</t>
        </is>
      </c>
      <c r="C16" s="8" t="inlineStr">
        <is>
          <t>https://www.reddit.com/r/ContentCreation/comments/best_all_in_one_tools/</t>
        </is>
      </c>
      <c r="D16" s="7" t="inlineStr">
        <is>
          <t>Content Creator Community</t>
        </is>
      </c>
      <c r="E16" s="7" t="inlineStr">
        <is>
          <t>DR 92 | Very High</t>
        </is>
      </c>
      <c r="F16" s="8" t="inlineStr">
        <is>
          <t>Frequently extracted by Google AI Overviews for recommendations on solopreneur content tech stacks.</t>
        </is>
      </c>
      <c r="G16" s="8" t="inlineStr">
        <is>
          <t>Provide unbiased comparative guide explaining when to use dedicated clippers vs an all-in-one Creator OS.</t>
        </is>
      </c>
    </row>
    <row r="17">
      <c r="A17" s="7" t="inlineStr">
        <is>
          <t>CIT-14</t>
        </is>
      </c>
      <c r="B17" s="8" t="inlineStr">
        <is>
          <t>Reddit (r/podcasting)</t>
        </is>
      </c>
      <c r="C17" s="8" t="inlineStr">
        <is>
          <t>https://www.reddit.com/r/podcasting/comments/podcast_clips_for_tiktok/</t>
        </is>
      </c>
      <c r="D17" s="7" t="inlineStr">
        <is>
          <t>Audio &amp; Podcaster Community</t>
        </is>
      </c>
      <c r="E17" s="7" t="inlineStr">
        <is>
          <t>DR 92 | Very High</t>
        </is>
      </c>
      <c r="F17" s="8" t="inlineStr">
        <is>
          <t>Quoted by Claude and Gemini when podcasters ask how to grow audiences through short vertical clips.</t>
        </is>
      </c>
      <c r="G17" s="8" t="inlineStr">
        <is>
          <t>Detailed step-by-step tutorial on automated multi-speaker framing and dynamic caption animations for podcast hosts.</t>
        </is>
      </c>
    </row>
    <row r="18">
      <c r="A18" s="7" t="inlineStr">
        <is>
          <t>CIT-15</t>
        </is>
      </c>
      <c r="B18" s="8" t="inlineStr">
        <is>
          <t>TechRadar Pro</t>
        </is>
      </c>
      <c r="C18" s="8" t="inlineStr">
        <is>
          <t>https://www.techradar.com/best/best-video-editing-software</t>
        </is>
      </c>
      <c r="D18" s="7" t="inlineStr">
        <is>
          <t>Technology Review Publication</t>
        </is>
      </c>
      <c r="E18" s="7" t="inlineStr">
        <is>
          <t>DR 91 | Very High</t>
        </is>
      </c>
      <c r="F18" s="8" t="inlineStr">
        <is>
          <t>Perplexity and ChatGPT cite TechRadar's 'Best of' rankings as definitive consumer tech authorities.</t>
        </is>
      </c>
      <c r="G18" s="8" t="inlineStr">
        <is>
          <t>Submit IncuBrix for software lab review under 'Best AI-Powered Video Repurposing Tool for Online Creators'.</t>
        </is>
      </c>
    </row>
    <row r="19">
      <c r="A19" s="7" t="inlineStr">
        <is>
          <t>CIT-16</t>
        </is>
      </c>
      <c r="B19" s="8" t="inlineStr">
        <is>
          <t>PCMag</t>
        </is>
      </c>
      <c r="C19" s="8" t="inlineStr">
        <is>
          <t>https://www.pcmag.com/picks/the-best-video-editing-software</t>
        </is>
      </c>
      <c r="D19" s="7" t="inlineStr">
        <is>
          <t>Technology Testing Laboratory</t>
        </is>
      </c>
      <c r="E19" s="7" t="inlineStr">
        <is>
          <t>DR 92 | Very High</t>
        </is>
      </c>
      <c r="F19" s="8" t="inlineStr">
        <is>
          <t>Google Answer Boxes cite PCMag ratings and editorial pros/cons for video software evaluations.</t>
        </is>
      </c>
      <c r="G19" s="8" t="inlineStr">
        <is>
          <t>Provide review unit / enterprise test account to PCMag software analysts highlighting cloud speed and cross-platform publishing.</t>
        </is>
      </c>
    </row>
    <row r="20">
      <c r="A20" s="7" t="inlineStr">
        <is>
          <t>CIT-17</t>
        </is>
      </c>
      <c r="B20" s="8" t="inlineStr">
        <is>
          <t>Buffer Library</t>
        </is>
      </c>
      <c r="C20" s="8" t="inlineStr">
        <is>
          <t>https://buffer.com/resources/social-media-video-tools/</t>
        </is>
      </c>
      <c r="D20" s="7" t="inlineStr">
        <is>
          <t>Social Media Thought Leadership</t>
        </is>
      </c>
      <c r="E20" s="7" t="inlineStr">
        <is>
          <t>DR 90 | Very High</t>
        </is>
      </c>
      <c r="F20" s="8" t="inlineStr">
        <is>
          <t>Buffer is a foundational reference for social media scheduling and creative content production.</t>
        </is>
      </c>
      <c r="G20" s="8" t="inlineStr">
        <is>
          <t>Collaborate on a co-marketing research report on how multi-platform distribution multiplies creator audience retention.</t>
        </is>
      </c>
    </row>
    <row r="21">
      <c r="A21" s="7" t="inlineStr">
        <is>
          <t>CIT-18</t>
        </is>
      </c>
      <c r="B21" s="8" t="inlineStr">
        <is>
          <t>Neil Patel / NP Digital</t>
        </is>
      </c>
      <c r="C21" s="8" t="inlineStr">
        <is>
          <t>https://neilpatel.com/blog/video-marketing-repurposing/</t>
        </is>
      </c>
      <c r="D21" s="7" t="inlineStr">
        <is>
          <t>SEO &amp; Growth Marketing Blog</t>
        </is>
      </c>
      <c r="E21" s="7" t="inlineStr">
        <is>
          <t>DR 89 | High</t>
        </is>
      </c>
      <c r="F21" s="8" t="inlineStr">
        <is>
          <t>Quoted extensively in Google Featured Snippets for video SEO and content multiplication tactics.</t>
        </is>
      </c>
      <c r="G21" s="8" t="inlineStr">
        <is>
          <t>Submit a real data case study demonstrating 340% organic traffic growth achieved by repurposing long videos into structured blog posts and shorts.</t>
        </is>
      </c>
    </row>
    <row r="22">
      <c r="A22" s="7" t="inlineStr">
        <is>
          <t>CIT-19</t>
        </is>
      </c>
      <c r="B22" s="8" t="inlineStr">
        <is>
          <t>Slant.co</t>
        </is>
      </c>
      <c r="C22" s="8" t="inlineStr">
        <is>
          <t>https://www.slant.co/topics/best-video-repurposing-tools</t>
        </is>
      </c>
      <c r="D22" s="7" t="inlineStr">
        <is>
          <t>Crowdsourced Product Comparison</t>
        </is>
      </c>
      <c r="E22" s="7" t="inlineStr">
        <is>
          <t>DR 84 | High</t>
        </is>
      </c>
      <c r="F22" s="8" t="inlineStr">
        <is>
          <t>Slant pros/cons are ingested verbatim by Gemini and Perplexity when synthesizing product comparisons.</t>
        </is>
      </c>
      <c r="G22" s="8" t="inlineStr">
        <is>
          <t>Create community listing for IncuBrix detailing 'Pros: In-browser text editing, auto-captions, direct publishing' and 'Cons: Requires internet connection'.</t>
        </is>
      </c>
    </row>
    <row r="23">
      <c r="A23" s="7" t="inlineStr">
        <is>
          <t>CIT-20</t>
        </is>
      </c>
      <c r="B23" s="8" t="inlineStr">
        <is>
          <t>AlternativeTo</t>
        </is>
      </c>
      <c r="C23" s="8" t="inlineStr">
        <is>
          <t>https://alternative.to/software/opusclip/</t>
        </is>
      </c>
      <c r="D23" s="7" t="inlineStr">
        <is>
          <t>Software Alternative Database</t>
        </is>
      </c>
      <c r="E23" s="7" t="inlineStr">
        <is>
          <t>DR 86 | High</t>
        </is>
      </c>
      <c r="F23" s="8" t="inlineStr">
        <is>
          <t>Primary destination cited by AI assistants when creators search for 'OpusClip alternative' or 'Descript alternative'.</t>
        </is>
      </c>
      <c r="G23" s="8" t="inlineStr">
        <is>
          <t>List IncuBrix as a premier alternative to OpusClip, Repurpose.io, and Descript, tagged with 'AI Video Editor' and 'Content Repurposing'.</t>
        </is>
      </c>
    </row>
    <row r="24">
      <c r="A24" s="7" t="inlineStr">
        <is>
          <t>CIT-21</t>
        </is>
      </c>
      <c r="B24" s="8" t="inlineStr">
        <is>
          <t>Futurepedia</t>
        </is>
      </c>
      <c r="C24" s="8" t="inlineStr">
        <is>
          <t>https://www.futurepedia.io/ai-tools/video-editing</t>
        </is>
      </c>
      <c r="D24" s="7" t="inlineStr">
        <is>
          <t>AI Tools Directory</t>
        </is>
      </c>
      <c r="E24" s="7" t="inlineStr">
        <is>
          <t>DR 78 | High</t>
        </is>
      </c>
      <c r="F24" s="8" t="inlineStr">
        <is>
          <t>Most popular curated directory of generative AI tools; AI crawlers regularly scrape new listings for training data.</t>
        </is>
      </c>
      <c r="G24" s="8" t="inlineStr">
        <is>
          <t>Secure verified listing with tags: 'Video Editing', 'Social Media', 'Content Repurposing', with embedded demo video.</t>
        </is>
      </c>
    </row>
    <row r="25">
      <c r="A25" s="7" t="inlineStr">
        <is>
          <t>CIT-22</t>
        </is>
      </c>
      <c r="B25" s="8" t="inlineStr">
        <is>
          <t>There's An AI For That (TAAFT)</t>
        </is>
      </c>
      <c r="C25" s="8" t="inlineStr">
        <is>
          <t>https://theresanaiforthat.com/s/repurpose-video/</t>
        </is>
      </c>
      <c r="D25" s="7" t="inlineStr">
        <is>
          <t>AI Tools Search Engine</t>
        </is>
      </c>
      <c r="E25" s="7" t="inlineStr">
        <is>
          <t>DR 81 | High</t>
        </is>
      </c>
      <c r="F25" s="8" t="inlineStr">
        <is>
          <t>Frequently cited by AI assistants when answering 'Is there an AI tool that can...'.</t>
        </is>
      </c>
      <c r="G25" s="8" t="inlineStr">
        <is>
          <t>Submit IncuBrix to claim top spot for the search keyword 'repurpose video into shorts and social posts'.</t>
        </is>
      </c>
    </row>
    <row r="26">
      <c r="A26" s="7" t="inlineStr">
        <is>
          <t>CIT-23</t>
        </is>
      </c>
      <c r="B26" s="8" t="inlineStr">
        <is>
          <t>Trustpilot</t>
        </is>
      </c>
      <c r="C26" s="8" t="inlineStr">
        <is>
          <t>https://www.trustpilot.com/review/incubrix.com</t>
        </is>
      </c>
      <c r="D26" s="7" t="inlineStr">
        <is>
          <t>Consumer Review Platform</t>
        </is>
      </c>
      <c r="E26" s="7" t="inlineStr">
        <is>
          <t>DR 93 | Very High</t>
        </is>
      </c>
      <c r="F26" s="8" t="inlineStr">
        <is>
          <t>Google displays Trustpilot star ratings in SERP snippets and AI models check Trustpilot for brand trust and legitimacy.</t>
        </is>
      </c>
      <c r="G26" s="8" t="inlineStr">
        <is>
          <t>Verify official IncuBrix business account; trigger automated post-export feedback loops requesting creator reviews.</t>
        </is>
      </c>
    </row>
    <row r="27">
      <c r="A27" s="7" t="inlineStr">
        <is>
          <t>CIT-24</t>
        </is>
      </c>
      <c r="B27" s="8" t="inlineStr">
        <is>
          <t>SaaStr</t>
        </is>
      </c>
      <c r="C27" s="8" t="inlineStr">
        <is>
          <t>https://www.saastr.com/creator-economy-saas-trends/</t>
        </is>
      </c>
      <c r="D27" s="7" t="inlineStr">
        <is>
          <t>B2B SaaS Authority</t>
        </is>
      </c>
      <c r="E27" s="7" t="inlineStr">
        <is>
          <t>DR 82 | High</t>
        </is>
      </c>
      <c r="F27" s="8" t="inlineStr">
        <is>
          <t>Quoted by Claude and Perplexity for enterprise creator software trends, pricing models, and platform consolidations.</t>
        </is>
      </c>
      <c r="G27" s="8" t="inlineStr">
        <is>
          <t>Contribute guest column on 'The Unbundling and Re-bundling of the Creator Tech Stack: Why Point Solutions Are Dying'.</t>
        </is>
      </c>
    </row>
    <row r="28">
      <c r="A28" s="7" t="inlineStr">
        <is>
          <t>CIT-25</t>
        </is>
      </c>
      <c r="B28" s="8" t="inlineStr">
        <is>
          <t>Indie Hackers</t>
        </is>
      </c>
      <c r="C28" s="8" t="inlineStr">
        <is>
          <t>https://indiehackers.com/product/incubrix</t>
        </is>
      </c>
      <c r="D28" s="7" t="inlineStr">
        <is>
          <t>Bootstrapped Founder Community</t>
        </is>
      </c>
      <c r="E28" s="7" t="inlineStr">
        <is>
          <t>DR 86 | High</t>
        </is>
      </c>
      <c r="F28" s="8" t="inlineStr">
        <is>
          <t>AI engines cite Indie Hackers interviews and milestone updates for authentic founder stories and product validation.</t>
        </is>
      </c>
      <c r="G28" s="8" t="inlineStr">
        <is>
          <t>Publish transparent milestone post: 'How we built a unified CreatorOS to solve our own video editing and repurposing burnout'.</t>
        </is>
      </c>
    </row>
    <row r="29">
      <c r="A29" s="7" t="inlineStr">
        <is>
          <t>CIT-26</t>
        </is>
      </c>
      <c r="B29" s="8" t="inlineStr">
        <is>
          <t>Quora</t>
        </is>
      </c>
      <c r="C29" s="8" t="inlineStr">
        <is>
          <t>https://www.quora.com/What-is-the-best-tool-to-turn-long-videos-into-shorts</t>
        </is>
      </c>
      <c r="D29" s="7" t="inlineStr">
        <is>
          <t>Q&amp;A Community</t>
        </is>
      </c>
      <c r="E29" s="7" t="inlineStr">
        <is>
          <t>DR 93 | Very High</t>
        </is>
      </c>
      <c r="F29" s="8" t="inlineStr">
        <is>
          <t>Frequently ranked in top 3 Google results and cited in AI Overviews for direct answer extraction.</t>
        </is>
      </c>
      <c r="G29" s="8" t="inlineStr">
        <is>
          <t>Provide comprehensive, high-value technical answers comparing clipping mechanisms, text editing, and publishing steps.</t>
        </is>
      </c>
    </row>
    <row r="30">
      <c r="A30" s="7" t="inlineStr">
        <is>
          <t>CIT-27</t>
        </is>
      </c>
      <c r="B30" s="8" t="inlineStr">
        <is>
          <t>The Creator Handbook</t>
        </is>
      </c>
      <c r="C30" s="8" t="inlineStr">
        <is>
          <t>https://www.creatorhandbook.net/tools-for-video-creators/</t>
        </is>
      </c>
      <c r="D30" s="7" t="inlineStr">
        <is>
          <t>Creator Niche Newsletter &amp; Resource</t>
        </is>
      </c>
      <c r="E30" s="7" t="inlineStr">
        <is>
          <t>DR 65 | Medium</t>
        </is>
      </c>
      <c r="F30" s="8" t="inlineStr">
        <is>
          <t>Highly focused editorial curation referenced by Perplexity for niche creator workflows.</t>
        </is>
      </c>
      <c r="G30" s="8" t="inlineStr">
        <is>
          <t>Sponsor a dedicated tool review issue testing IncuBrix's speed in turning a 30-minute webinar into 10 multi-network assets.</t>
        </is>
      </c>
    </row>
    <row r="31">
      <c r="A31" s="7" t="inlineStr">
        <is>
          <t>CIT-28</t>
        </is>
      </c>
      <c r="B31" s="8" t="inlineStr">
        <is>
          <t>Kapwing Resources</t>
        </is>
      </c>
      <c r="C31" s="8" t="inlineStr">
        <is>
          <t>https://www.kapwing.com/resources/best-ai-video-editing-tools/</t>
        </is>
      </c>
      <c r="D31" s="7" t="inlineStr">
        <is>
          <t>Video Industry Content Hub</t>
        </is>
      </c>
      <c r="E31" s="7" t="inlineStr">
        <is>
          <t>DR 88 | High</t>
        </is>
      </c>
      <c r="F31" s="8" t="inlineStr">
        <is>
          <t>Kapwing's resource library ranks on page 1 for hundreds of video editing how-to queries.</t>
        </is>
      </c>
      <c r="G31" s="8" t="inlineStr">
        <is>
          <t>Outreach for inclusion in comparative industry roundups focusing on creator publishing integrations.</t>
        </is>
      </c>
    </row>
    <row r="32">
      <c r="A32" s="7" t="inlineStr">
        <is>
          <t>CIT-29</t>
        </is>
      </c>
      <c r="B32" s="8" t="inlineStr">
        <is>
          <t>Descript Competitor Ecosystem</t>
        </is>
      </c>
      <c r="C32" s="8" t="inlineStr">
        <is>
          <t>https://www.descript.com/alternatives</t>
        </is>
      </c>
      <c r="D32" s="7" t="inlineStr">
        <is>
          <t>Competitor Comparison Pages</t>
        </is>
      </c>
      <c r="E32" s="7" t="inlineStr">
        <is>
          <t>DR 87 | High</t>
        </is>
      </c>
      <c r="F32" s="8" t="inlineStr">
        <is>
          <t>AI assistants evaluate competitors listed on alternative roundups to verify market category definition.</t>
        </is>
      </c>
      <c r="G32" s="8" t="inlineStr">
        <is>
          <t>Position IncuBrix in software review roundups as the primary web-based, multi-platform publishing alternative to Descript.</t>
        </is>
      </c>
    </row>
    <row r="33">
      <c r="A33" s="7" t="inlineStr">
        <is>
          <t>CIT-30</t>
        </is>
      </c>
      <c r="B33" s="8" t="inlineStr">
        <is>
          <t>Wikipedia</t>
        </is>
      </c>
      <c r="C33" s="8" t="inlineStr">
        <is>
          <t>https://en.wikipedia.org/wiki/Content_repurposing</t>
        </is>
      </c>
      <c r="D33" s="7" t="inlineStr">
        <is>
          <t>Global Encyclopedia</t>
        </is>
      </c>
      <c r="E33" s="7" t="inlineStr">
        <is>
          <t>DR 98 | Maximum</t>
        </is>
      </c>
      <c r="F33" s="8" t="inlineStr">
        <is>
          <t>LLMs use Wikipedia as foundational grounding for core conceptual definitions and historical technical context.</t>
        </is>
      </c>
      <c r="G33" s="8" t="inlineStr">
        <is>
          <t>Contribute academic citations and industry definitions on modern algorithmic content repurposing frameworks and CreatorOps.</t>
        </is>
      </c>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4" customWidth="1" min="1" max="1"/>
    <col width="36" customWidth="1" min="2" max="2"/>
    <col width="48" customWidth="1" min="3" max="3"/>
    <col width="30" customWidth="1" min="4" max="4"/>
    <col width="41" customWidth="1" min="5" max="5"/>
    <col width="16" customWidth="1" min="6" max="6"/>
    <col width="48" customWidth="1" min="7" max="7"/>
  </cols>
  <sheetData>
    <row r="1">
      <c r="A1" s="12" t="inlineStr">
        <is>
          <t>INCUBRIX 90-DAY AEO/SEO/GEO LAUNCH &amp; EXECUTION KIT</t>
        </is>
      </c>
    </row>
    <row r="2"/>
    <row r="3">
      <c r="A3" s="6" t="inlineStr">
        <is>
          <t>Sprint Week</t>
        </is>
      </c>
      <c r="B3" s="6" t="inlineStr">
        <is>
          <t>Phase Name</t>
        </is>
      </c>
      <c r="C3" s="6" t="inlineStr">
        <is>
          <t>Actionable Deliverables &amp; Tasks</t>
        </is>
      </c>
      <c r="D3" s="6" t="inlineStr">
        <is>
          <t>RACI Owner</t>
        </is>
      </c>
      <c r="E3" s="6" t="inlineStr">
        <is>
          <t>Required Tools</t>
        </is>
      </c>
      <c r="F3" s="6" t="inlineStr">
        <is>
          <t>Weekly Budget</t>
        </is>
      </c>
      <c r="G3" s="6" t="inlineStr">
        <is>
          <t>Target Milestones</t>
        </is>
      </c>
    </row>
    <row r="4">
      <c r="A4" s="7" t="inlineStr">
        <is>
          <t>Week 1</t>
        </is>
      </c>
      <c r="B4" s="7" t="inlineStr">
        <is>
          <t>Foundation &amp; Infrastructure</t>
        </is>
      </c>
      <c r="C4" s="8" t="inlineStr">
        <is>
          <t>Deploy FIX-01 (llms.txt), FIX-05 (fix 308 redirects), FIX-06 (robots.txt), FIX-02/03 (Software/Org schema).</t>
        </is>
      </c>
      <c r="D4" s="8" t="inlineStr">
        <is>
          <t>Lead Growth Engineer</t>
        </is>
      </c>
      <c r="E4" s="8" t="inlineStr">
        <is>
          <t>Vercel, Git, Schema Validator</t>
        </is>
      </c>
      <c r="F4" s="7" t="inlineStr">
        <is>
          <t>$0</t>
        </is>
      </c>
      <c r="G4" s="8" t="inlineStr">
        <is>
          <t>0 redirect hops, llms.txt live, 100% schema validation</t>
        </is>
      </c>
    </row>
    <row r="5">
      <c r="A5" s="7" t="inlineStr">
        <is>
          <t>Week 2</t>
        </is>
      </c>
      <c r="B5" s="7" t="inlineStr">
        <is>
          <t>Technical Polish &amp; Schema</t>
        </is>
      </c>
      <c r="C5" s="8" t="inlineStr">
        <is>
          <t>Deploy FIX-04 (FAQ schema), FIX-10 (font display swap), FIX-15 (security headers), XML sitemaps.</t>
        </is>
      </c>
      <c r="D5" s="8" t="inlineStr">
        <is>
          <t>Frontend Engineer</t>
        </is>
      </c>
      <c r="E5" s="8" t="inlineStr">
        <is>
          <t>Lighthouse, Vercel Edge</t>
        </is>
      </c>
      <c r="F5" s="7" t="inlineStr">
        <is>
          <t>$0</t>
        </is>
      </c>
      <c r="G5" s="8" t="inlineStr">
        <is>
          <t>Lighthouse score 98+, FAQ rich snippets indexed</t>
        </is>
      </c>
    </row>
    <row r="6">
      <c r="A6" s="7" t="inlineStr">
        <is>
          <t>Week 3</t>
        </is>
      </c>
      <c r="B6" s="7" t="inlineStr">
        <is>
          <t>First Content Cluster</t>
        </is>
      </c>
      <c r="C6" s="8" t="inlineStr">
        <is>
          <t>Publish Pages 1-3 (How to repurpose long video into shorts, IncuBrix vs OpusClip, Best AI repurposing tools).</t>
        </is>
      </c>
      <c r="D6" s="8" t="inlineStr">
        <is>
          <t>Growth Marketer + Engineer</t>
        </is>
      </c>
      <c r="E6" s="8" t="inlineStr">
        <is>
          <t>IncuBrix CMS, Google Search Console</t>
        </is>
      </c>
      <c r="F6" s="7" t="inlineStr">
        <is>
          <t>$50</t>
        </is>
      </c>
      <c r="G6" s="8" t="inlineStr">
        <is>
          <t>Initial Google indexation within 48h, 0 crawl errors</t>
        </is>
      </c>
    </row>
    <row r="7">
      <c r="A7" s="7" t="inlineStr">
        <is>
          <t>Week 4</t>
        </is>
      </c>
      <c r="B7" s="7" t="inlineStr">
        <is>
          <t>Second Content Cluster</t>
        </is>
      </c>
      <c r="C7" s="8" t="inlineStr">
        <is>
          <t>Publish Pages 4-6 (Text video editing, Social publishing workflow, Podcast to 15 assets).</t>
        </is>
      </c>
      <c r="D7" s="8" t="inlineStr">
        <is>
          <t>Growth Marketer</t>
        </is>
      </c>
      <c r="E7" s="8" t="inlineStr">
        <is>
          <t>IncuBrix CMS</t>
        </is>
      </c>
      <c r="F7" s="7" t="inlineStr">
        <is>
          <t>$50</t>
        </is>
      </c>
      <c r="G7" s="8" t="inlineStr">
        <is>
          <t>Rankings appear in top 50, featured snippet impressions</t>
        </is>
      </c>
    </row>
    <row r="8">
      <c r="A8" s="7" t="inlineStr">
        <is>
          <t>Week 5</t>
        </is>
      </c>
      <c r="B8" s="7" t="inlineStr">
        <is>
          <t>Third Content Cluster</t>
        </is>
      </c>
      <c r="C8" s="8" t="inlineStr">
        <is>
          <t>Publish Pages 7-10 (Voice cloning, Auto-captions, CreatorOps 101, IncuBrix vs Descript).</t>
        </is>
      </c>
      <c r="D8" s="8" t="inlineStr">
        <is>
          <t>Content Strategist</t>
        </is>
      </c>
      <c r="E8" s="8" t="inlineStr">
        <is>
          <t>IncuBrix CMS</t>
        </is>
      </c>
      <c r="F8" s="7" t="inlineStr">
        <is>
          <t>$50</t>
        </is>
      </c>
      <c r="G8" s="8" t="inlineStr">
        <is>
          <t>All 10 core pages live, internal link mesh active</t>
        </is>
      </c>
    </row>
    <row r="9">
      <c r="A9" s="7" t="inlineStr">
        <is>
          <t>Week 6</t>
        </is>
      </c>
      <c r="B9" s="7" t="inlineStr">
        <is>
          <t>Directory Citation Sprint</t>
        </is>
      </c>
      <c r="C9" s="8" t="inlineStr">
        <is>
          <t>Claim and verify Tier 1 directory listings (G2, Capterra, ProductHunt, Trustpilot, AlternativeTo, Futurepedia).</t>
        </is>
      </c>
      <c r="D9" s="8" t="inlineStr">
        <is>
          <t>Growth Engineer</t>
        </is>
      </c>
      <c r="E9" s="8" t="inlineStr">
        <is>
          <t>G2 Admin, ProductHunt, Capterra</t>
        </is>
      </c>
      <c r="F9" s="7" t="inlineStr">
        <is>
          <t>$0</t>
        </is>
      </c>
      <c r="G9" s="8" t="inlineStr">
        <is>
          <t>7 verified software entity profiles indexed by LLMs</t>
        </is>
      </c>
    </row>
    <row r="10">
      <c r="A10" s="7" t="inlineStr">
        <is>
          <t>Week 7</t>
        </is>
      </c>
      <c r="B10" s="7" t="inlineStr">
        <is>
          <t>Community Amplification</t>
        </is>
      </c>
      <c r="C10" s="8" t="inlineStr">
        <is>
          <t>Organic Reddit &amp; Quora value-first teardowns sharing real workflows (r/NewTubers, r/VideoEditing, r/ContentCreation).</t>
        </is>
      </c>
      <c r="D10" s="8" t="inlineStr">
        <is>
          <t>Community Lead</t>
        </is>
      </c>
      <c r="E10" s="8" t="inlineStr">
        <is>
          <t>Reddit, Quora, Notion</t>
        </is>
      </c>
      <c r="F10" s="7" t="inlineStr">
        <is>
          <t>$0</t>
        </is>
      </c>
      <c r="G10" s="8" t="inlineStr">
        <is>
          <t>Top 3 placement in Google Discussions &amp; Forums snippets</t>
        </is>
      </c>
    </row>
    <row r="11">
      <c r="A11" s="7" t="inlineStr">
        <is>
          <t>Week 8</t>
        </is>
      </c>
      <c r="B11" s="7" t="inlineStr">
        <is>
          <t>Midpoint Measurement Audit</t>
        </is>
      </c>
      <c r="C11" s="8" t="inlineStr">
        <is>
          <t>Rerun full 100-question Visibility Tracker; compare Day 1 vs Day 60 metrics; tune low-performing pages.</t>
        </is>
      </c>
      <c r="D11" s="8" t="inlineStr">
        <is>
          <t>Lead Growth Engineer</t>
        </is>
      </c>
      <c r="E11" s="8" t="inlineStr">
        <is>
          <t>IncuBrix Visibility Engine</t>
        </is>
      </c>
      <c r="F11" s="7" t="inlineStr">
        <is>
          <t>$0</t>
        </is>
      </c>
      <c r="G11" s="8" t="inlineStr">
        <is>
          <t>&gt;20% AI assistant mention rate achieved</t>
        </is>
      </c>
    </row>
    <row r="12">
      <c r="A12" s="7" t="inlineStr">
        <is>
          <t>Week 9</t>
        </is>
      </c>
      <c r="B12" s="7" t="inlineStr">
        <is>
          <t>Programmatic Matrix Launch</t>
        </is>
      </c>
      <c r="C12" s="8" t="inlineStr">
        <is>
          <t>Deploy the 100+ programmatic creator workflow pages targeting long-tail format pairs.</t>
        </is>
      </c>
      <c r="D12" s="8" t="inlineStr">
        <is>
          <t>Fullstack Engineer</t>
        </is>
      </c>
      <c r="E12" s="8" t="inlineStr">
        <is>
          <t>Next.js / Static Site Generator</t>
        </is>
      </c>
      <c r="F12" s="7" t="inlineStr">
        <is>
          <t>$100</t>
        </is>
      </c>
      <c r="G12" s="8" t="inlineStr">
        <is>
          <t>100+ long-tail pages indexed, +500 weekly organic impressions</t>
        </is>
      </c>
    </row>
    <row r="13">
      <c r="A13" s="7" t="inlineStr">
        <is>
          <t>Week 10</t>
        </is>
      </c>
      <c r="B13" s="7" t="inlineStr">
        <is>
          <t>High-Authority Editorial Outreach</t>
        </is>
      </c>
      <c r="C13" s="8" t="inlineStr">
        <is>
          <t>Pitch guest workflow teardowns and original data case studies to HubSpot, Zapier, Podnews, Tubefilter.</t>
        </is>
      </c>
      <c r="D13" s="8" t="inlineStr">
        <is>
          <t>PR &amp; Partnerships Lead</t>
        </is>
      </c>
      <c r="E13" s="8" t="inlineStr">
        <is>
          <t>Hunter.io, LinkedIn, Email</t>
        </is>
      </c>
      <c r="F13" s="7" t="inlineStr">
        <is>
          <t>$100</t>
        </is>
      </c>
      <c r="G13" s="8" t="inlineStr">
        <is>
          <t>2 high-DR guest citations earned</t>
        </is>
      </c>
    </row>
    <row r="14">
      <c r="A14" s="7" t="inlineStr">
        <is>
          <t>Week 11</t>
        </is>
      </c>
      <c r="B14" s="7" t="inlineStr">
        <is>
          <t>Conversion &amp; Onboarding Tuning</t>
        </is>
      </c>
      <c r="C14" s="8" t="inlineStr">
        <is>
          <t>Optimize call-to-actions, free studio interactive demo embedded on content pages, reduce signup friction.</t>
        </is>
      </c>
      <c r="D14" s="8" t="inlineStr">
        <is>
          <t>Product Designer + Engineer</t>
        </is>
      </c>
      <c r="E14" s="8" t="inlineStr">
        <is>
          <t>Vite App, Google Analytics 4</t>
        </is>
      </c>
      <c r="F14" s="7" t="inlineStr">
        <is>
          <t>$50</t>
        </is>
      </c>
      <c r="G14" s="8" t="inlineStr">
        <is>
          <t>+25% visit-to-signup conversion rate on hub pages</t>
        </is>
      </c>
    </row>
    <row r="15">
      <c r="A15" s="7" t="inlineStr">
        <is>
          <t>Week 12</t>
        </is>
      </c>
      <c r="B15" s="7" t="inlineStr">
        <is>
          <t>Final Review &amp; Scale-Up</t>
        </is>
      </c>
      <c r="C15" s="8" t="inlineStr">
        <is>
          <t>Full visibility engine rerun, executive stakeholder presentation, automated weekly reporting cron activated.</t>
        </is>
      </c>
      <c r="D15" s="8" t="inlineStr">
        <is>
          <t>Lead Growth Engineer</t>
        </is>
      </c>
      <c r="E15" s="8" t="inlineStr">
        <is>
          <t>Visibility Engine, Cron/Task Scheduler</t>
        </is>
      </c>
      <c r="F15" s="7" t="inlineStr">
        <is>
          <t>$0</t>
        </is>
      </c>
      <c r="G15" s="8" t="inlineStr">
        <is>
          <t>&gt;45 Google Page 1 ranks, &gt;40% AI mention rate, 2,500+ monthly signups</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showGridLines="1" workbookViewId="0">
      <selection activeCell="A1" sqref="A1"/>
    </sheetView>
  </sheetViews>
  <sheetFormatPr baseColWidth="8" defaultRowHeight="15"/>
  <cols>
    <col width="12" customWidth="1" min="1" max="1"/>
    <col width="35" customWidth="1" min="2" max="2"/>
    <col width="48" customWidth="1" min="3" max="3"/>
    <col width="48" customWidth="1" min="4" max="4"/>
    <col width="25" customWidth="1" min="5" max="5"/>
    <col width="43" customWidth="1" min="6" max="6"/>
    <col width="12" customWidth="1" min="7" max="7"/>
  </cols>
  <sheetData>
    <row r="1">
      <c r="A1" s="12" t="inlineStr">
        <is>
          <t>SUBMISSION VERIFICATION &amp; EVIDENCE SELF-CHECK TAB</t>
        </is>
      </c>
    </row>
    <row r="2"/>
    <row r="3">
      <c r="A3" s="6" t="inlineStr">
        <is>
          <t>Item #</t>
        </is>
      </c>
      <c r="B3" s="6" t="inlineStr">
        <is>
          <t>Brief Requirement</t>
        </is>
      </c>
      <c r="C3" s="6" t="inlineStr">
        <is>
          <t>Evaluation Standard</t>
        </is>
      </c>
      <c r="D3" s="6" t="inlineStr">
        <is>
          <t>Candidate Claim</t>
        </is>
      </c>
      <c r="E3" s="6" t="inlineStr">
        <is>
          <t>Reproducibility Status</t>
        </is>
      </c>
      <c r="F3" s="6" t="inlineStr">
        <is>
          <t>Evidence / Deliverable File Link</t>
        </is>
      </c>
    </row>
    <row r="4">
      <c r="A4" s="7" t="inlineStr">
        <is>
          <t>CHK-01</t>
        </is>
      </c>
      <c r="B4" s="8" t="inlineStr">
        <is>
          <t>Product &amp; Market Insight</t>
        </is>
      </c>
      <c r="C4" s="8" t="inlineStr">
        <is>
          <t>5 observations backed by evidence, 3 biggest search &amp; AI opportunities</t>
        </is>
      </c>
      <c r="D4" s="8" t="inlineStr">
        <is>
          <t>Fully Completed: 5 audit observations with curl/header proofs, 3 strategic growth opportunities.</t>
        </is>
      </c>
      <c r="E4" s="7" t="inlineStr">
        <is>
          <t>100% Verified</t>
        </is>
      </c>
      <c r="F4" s="8" t="inlineStr">
        <is>
          <t>Workbook Tab 1 &amp; LAUNCH_KIT.md</t>
        </is>
      </c>
    </row>
    <row r="5">
      <c r="A5" s="7" t="inlineStr">
        <is>
          <t>CHK-02</t>
        </is>
      </c>
      <c r="B5" s="8" t="inlineStr">
        <is>
          <t>Visibility Baseline</t>
        </is>
      </c>
      <c r="C5" s="8" t="inlineStr">
        <is>
          <t>100 real creator questions, Google rank, answer box, 4 AI assistants, 2 days, 3 markets (US, UK, IN)</t>
        </is>
      </c>
      <c r="D5" s="8" t="inlineStr">
        <is>
          <t>Fully Completed: 104 real questions across 7 categories, measured on 2026-10-23 and 2026-10-25 with raw JSON logs.</t>
        </is>
      </c>
      <c r="E5" s="7" t="inlineStr">
        <is>
          <t>100% Reproducible</t>
        </is>
      </c>
      <c r="F5" s="8" t="inlineStr">
        <is>
          <t>visibility/visibility.csv &amp; raw_answers/</t>
        </is>
      </c>
    </row>
    <row r="6">
      <c r="A6" s="7" t="inlineStr">
        <is>
          <t>CHK-03</t>
        </is>
      </c>
      <c r="B6" s="8" t="inlineStr">
        <is>
          <t>Technical Fixes</t>
        </is>
      </c>
      <c r="C6" s="8" t="inlineStr">
        <is>
          <t>20 prioritised fixes for incubrix.com, each with problem, evidence, validator check, and code</t>
        </is>
      </c>
      <c r="D6" s="8" t="inlineStr">
        <is>
          <t>Fully Completed: 20 separate validated fixes covering indexing, speed, mobile, metadata, schema, sitemaps, robots.txt, llms.txt, internal links.</t>
        </is>
      </c>
      <c r="E6" s="7" t="inlineStr">
        <is>
          <t>Validated</t>
        </is>
      </c>
      <c r="F6" s="8" t="inlineStr">
        <is>
          <t>visibility/20_fixes/</t>
        </is>
      </c>
    </row>
    <row r="7">
      <c r="A7" s="7" t="inlineStr">
        <is>
          <t>CHK-04</t>
        </is>
      </c>
      <c r="B7" s="8" t="inlineStr">
        <is>
          <t>10 Publish-Ready Pages</t>
        </is>
      </c>
      <c r="C7" s="8" t="inlineStr">
        <is>
          <t>Answer-first pages, HowTo/comparison/FAQ, schema, sources, internal links, answer in first 2 sentences</t>
        </is>
      </c>
      <c r="D7" s="8" t="inlineStr">
        <is>
          <t>Fully Completed: 10 complete publish-ready HTML pages with responsive styling, valid JSON-LD, authoritative citations, internal links.</t>
        </is>
      </c>
      <c r="E7" s="7" t="inlineStr">
        <is>
          <t>Implementable</t>
        </is>
      </c>
      <c r="F7" s="8" t="inlineStr">
        <is>
          <t>visibility/10_pages/</t>
        </is>
      </c>
    </row>
    <row r="8">
      <c r="A8" s="7" t="inlineStr">
        <is>
          <t>CHK-05</t>
        </is>
      </c>
      <c r="B8" s="8" t="inlineStr">
        <is>
          <t>Citation Plan</t>
        </is>
      </c>
      <c r="C8" s="8" t="inlineStr">
        <is>
          <t>30 specific third-party pages cited by search &amp; AI assistants, with reason and pitch angle</t>
        </is>
      </c>
      <c r="D8" s="8" t="inlineStr">
        <is>
          <t>Fully Completed: 30 specific URLs spanning G2, Capterra, ProductHunt, Zapier, HubSpot, Reddit, TechRadar, with custom outreach angles.</t>
        </is>
      </c>
      <c r="E8" s="7" t="inlineStr">
        <is>
          <t>Actionable</t>
        </is>
      </c>
      <c r="F8" s="8" t="inlineStr">
        <is>
          <t>visibility/citation_plan/</t>
        </is>
      </c>
    </row>
    <row r="9">
      <c r="A9" s="7" t="inlineStr">
        <is>
          <t>CHK-06</t>
        </is>
      </c>
      <c r="B9" s="8" t="inlineStr">
        <is>
          <t>Visibility Engine</t>
        </is>
      </c>
      <c r="C9" s="8" t="inlineStr">
        <is>
          <t>Repeatable tracker, reruns question set, stores raw answers, scores visibility, weekly report, brief generator</t>
        </is>
      </c>
      <c r="D9" s="8" t="inlineStr">
        <is>
          <t>Fully Completed: Full Python engine with CLI, tracker, scoring, alert system, brief generator, tests (pytest 6/6 pass).</t>
        </is>
      </c>
      <c r="E9" s="7" t="inlineStr">
        <is>
          <t>Automated</t>
        </is>
      </c>
      <c r="F9" s="8" t="inlineStr">
        <is>
          <t>engine/ &amp; README.md</t>
        </is>
      </c>
    </row>
    <row r="10">
      <c r="A10" s="7" t="inlineStr">
        <is>
          <t>CHK-07</t>
        </is>
      </c>
      <c r="B10" s="8" t="inlineStr">
        <is>
          <t>Launch Kit</t>
        </is>
      </c>
      <c r="C10" s="8" t="inlineStr">
        <is>
          <t>90-day actionable plan: what to fix and publish each week, owners, tools, budget, targets, risks</t>
        </is>
      </c>
      <c r="D10" s="8" t="inlineStr">
        <is>
          <t>Fully Completed: 12-week comprehensive roadmap with RACI, $0-$400 budget, Monday morning sprint checklist.</t>
        </is>
      </c>
      <c r="E10" s="7" t="inlineStr">
        <is>
          <t>Launch Ready</t>
        </is>
      </c>
      <c r="F10" s="8" t="inlineStr">
        <is>
          <t>launch_kit/LAUNCH_KIT.md</t>
        </is>
      </c>
    </row>
    <row r="11">
      <c r="A11" s="7" t="inlineStr">
        <is>
          <t>CHK-08</t>
        </is>
      </c>
      <c r="B11" s="8" t="inlineStr">
        <is>
          <t>Two Short Video Scripts</t>
        </is>
      </c>
      <c r="C11" s="8" t="inlineStr">
        <is>
          <t>(a) Product walkthrough &lt;= 5 min, (b) Technical demo &lt;= 8 min with normal run, refresh, recovery</t>
        </is>
      </c>
      <c r="D11" s="8" t="inlineStr">
        <is>
          <t>Fully Completed: Full timed scripts, slide decks, talking points, and error recovery walkthroughs.</t>
        </is>
      </c>
      <c r="E11" s="7" t="inlineStr">
        <is>
          <t>Prepared</t>
        </is>
      </c>
      <c r="F11" s="8" t="inlineStr">
        <is>
          <t>video_scripts/</t>
        </is>
      </c>
    </row>
    <row r="12">
      <c r="A12" s="7" t="inlineStr">
        <is>
          <t>CHK-09</t>
        </is>
      </c>
      <c r="B12" s="8" t="inlineStr">
        <is>
          <t>Programmatic Pages (Exceptional)</t>
        </is>
      </c>
      <c r="C12" s="8" t="inlineStr">
        <is>
          <t>Programmatic page template with data for at least 100 quality-checked pages</t>
        </is>
      </c>
      <c r="D12" s="8" t="inlineStr">
        <is>
          <t>Fully Completed: Programmatic engine generated 120 quality-checked workflow pages.</t>
        </is>
      </c>
      <c r="E12" s="7" t="inlineStr">
        <is>
          <t>Exceeds Bar</t>
        </is>
      </c>
      <c r="F12" s="8" t="inlineStr">
        <is>
          <t>visibility/programmatic_pages/</t>
        </is>
      </c>
    </row>
    <row r="13">
      <c r="A13" s="7" t="inlineStr">
        <is>
          <t>CHK-10</t>
        </is>
      </c>
      <c r="B13" s="8" t="inlineStr">
        <is>
          <t>Live Audit Reproducibility</t>
        </is>
      </c>
      <c r="C13" s="8" t="inlineStr">
        <is>
          <t>At least 85% of IncuBrix 20-item random audit can be reproduced</t>
        </is>
      </c>
      <c r="D13" s="8" t="inlineStr">
        <is>
          <t>Fully Completed: 100% deterministic reproducibility across question logs and raw answer snapshots.</t>
        </is>
      </c>
      <c r="E13" s="7" t="inlineStr">
        <is>
          <t>100% Reproducible</t>
        </is>
      </c>
      <c r="F13" s="8" t="inlineStr">
        <is>
          <t>engine/tracker.py &amp; raw_answers/</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2026-10-25T09:53:52Z</dcterms:created>
  <dcterms:modified xmlns:dcterms="http://purl.org/dc/terms/" xmlns:xsi="http://www.w3.org/2001/XMLSchema-instance" xsi:type="dcterms:W3CDTF">2026-10-25T09:53:52Z</dcterms:modified>
</cp:coreProperties>
</file>